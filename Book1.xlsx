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4d527c66548e09/ドキュメント/AtCoder/"/>
    </mc:Choice>
  </mc:AlternateContent>
  <xr:revisionPtr revIDLastSave="0" documentId="8_{A61CCDEE-F8C0-4234-8EE0-AFB89B056AA4}" xr6:coauthVersionLast="47" xr6:coauthVersionMax="47" xr10:uidLastSave="{00000000-0000-0000-0000-000000000000}"/>
  <bookViews>
    <workbookView xWindow="-110" yWindow="-110" windowWidth="19420" windowHeight="11500" xr2:uid="{DE497FC6-7370-4496-B83B-662A4CB29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" i="1" l="1"/>
  <c r="P9" i="1"/>
  <c r="P3" i="1"/>
  <c r="P4" i="1"/>
  <c r="P5" i="1"/>
  <c r="P6" i="1"/>
  <c r="P7" i="1"/>
  <c r="P8" i="1"/>
  <c r="P10" i="1"/>
  <c r="P11" i="1"/>
  <c r="P12" i="1"/>
  <c r="P13" i="1"/>
  <c r="P14" i="1"/>
  <c r="P15" i="1"/>
  <c r="P16" i="1"/>
  <c r="P2" i="1"/>
  <c r="Q3" i="1"/>
  <c r="Q16" i="1"/>
  <c r="Q14" i="1"/>
  <c r="Q13" i="1"/>
  <c r="Q12" i="1"/>
  <c r="Q15" i="1"/>
  <c r="Q8" i="1"/>
  <c r="Q10" i="1"/>
  <c r="Q4" i="1"/>
  <c r="Q5" i="1"/>
  <c r="Q7" i="1"/>
  <c r="Q11" i="1"/>
  <c r="Q6" i="1"/>
  <c r="Q2" i="1"/>
</calcChain>
</file>

<file path=xl/sharedStrings.xml><?xml version="1.0" encoding="utf-8"?>
<sst xmlns="http://schemas.openxmlformats.org/spreadsheetml/2006/main" count="62" uniqueCount="44">
  <si>
    <t>kaijoh</t>
    <phoneticPr fontId="2"/>
  </si>
  <si>
    <t>player</t>
    <phoneticPr fontId="2"/>
  </si>
  <si>
    <t>灰</t>
    <rPh sb="0" eb="1">
      <t>ハイ</t>
    </rPh>
    <phoneticPr fontId="2"/>
  </si>
  <si>
    <t>茶</t>
    <rPh sb="0" eb="1">
      <t>チャ</t>
    </rPh>
    <phoneticPr fontId="2"/>
  </si>
  <si>
    <t>緑</t>
    <rPh sb="0" eb="1">
      <t>ミドリ</t>
    </rPh>
    <phoneticPr fontId="2"/>
  </si>
  <si>
    <t>水</t>
    <rPh sb="0" eb="1">
      <t>ミズ</t>
    </rPh>
    <phoneticPr fontId="2"/>
  </si>
  <si>
    <t>青</t>
    <rPh sb="0" eb="1">
      <t>アオ</t>
    </rPh>
    <phoneticPr fontId="2"/>
  </si>
  <si>
    <t>黄</t>
    <rPh sb="0" eb="1">
      <t>キ</t>
    </rPh>
    <phoneticPr fontId="2"/>
  </si>
  <si>
    <t>橙</t>
    <rPh sb="0" eb="1">
      <t>ダイダイ</t>
    </rPh>
    <phoneticPr fontId="2"/>
  </si>
  <si>
    <t>赤</t>
    <rPh sb="0" eb="1">
      <t>アカ</t>
    </rPh>
    <phoneticPr fontId="2"/>
  </si>
  <si>
    <t>銅</t>
    <rPh sb="0" eb="1">
      <t>ドウ</t>
    </rPh>
    <phoneticPr fontId="2"/>
  </si>
  <si>
    <t>銀</t>
    <rPh sb="0" eb="1">
      <t>ギン</t>
    </rPh>
    <phoneticPr fontId="2"/>
  </si>
  <si>
    <t>univ.</t>
    <phoneticPr fontId="2"/>
  </si>
  <si>
    <t>埼玉</t>
    <rPh sb="0" eb="2">
      <t>サイタマ</t>
    </rPh>
    <phoneticPr fontId="2"/>
  </si>
  <si>
    <t>Total_P</t>
    <phoneticPr fontId="2"/>
  </si>
  <si>
    <t>東京藝術</t>
    <rPh sb="0" eb="2">
      <t>トウキョウ</t>
    </rPh>
    <rPh sb="2" eb="4">
      <t>ゲイジュツ</t>
    </rPh>
    <phoneticPr fontId="2"/>
  </si>
  <si>
    <t>O24</t>
    <phoneticPr fontId="2"/>
  </si>
  <si>
    <t>慶應</t>
    <rPh sb="0" eb="2">
      <t>ケイオウ</t>
    </rPh>
    <phoneticPr fontId="2"/>
  </si>
  <si>
    <t>PCTprobability</t>
    <phoneticPr fontId="2"/>
  </si>
  <si>
    <t>Rice_tawara495</t>
    <phoneticPr fontId="2"/>
  </si>
  <si>
    <t>東京科学</t>
    <rPh sb="0" eb="2">
      <t>トウキョウ</t>
    </rPh>
    <rPh sb="2" eb="4">
      <t>カガク</t>
    </rPh>
    <phoneticPr fontId="2"/>
  </si>
  <si>
    <t>a01sa01to</t>
    <phoneticPr fontId="2"/>
  </si>
  <si>
    <t>会津</t>
    <rPh sb="0" eb="2">
      <t>アイヅ</t>
    </rPh>
    <phoneticPr fontId="2"/>
  </si>
  <si>
    <t>achapi</t>
    <phoneticPr fontId="2"/>
  </si>
  <si>
    <t>MIT</t>
    <phoneticPr fontId="2"/>
  </si>
  <si>
    <t>blackyuki</t>
    <phoneticPr fontId="2"/>
  </si>
  <si>
    <t>gengar_094</t>
    <phoneticPr fontId="2"/>
  </si>
  <si>
    <t>筑波</t>
    <rPh sb="0" eb="2">
      <t>ツクバ</t>
    </rPh>
    <phoneticPr fontId="2"/>
  </si>
  <si>
    <t>lp_ql</t>
    <phoneticPr fontId="2"/>
  </si>
  <si>
    <t>北海道</t>
    <rPh sb="0" eb="3">
      <t>ホッカイドウ</t>
    </rPh>
    <phoneticPr fontId="2"/>
  </si>
  <si>
    <t>monsoon7</t>
    <phoneticPr fontId="2"/>
  </si>
  <si>
    <t>電気通信</t>
    <rPh sb="0" eb="4">
      <t>デンキツウシン</t>
    </rPh>
    <phoneticPr fontId="2"/>
  </si>
  <si>
    <t>rmp</t>
    <phoneticPr fontId="2"/>
  </si>
  <si>
    <t>九州</t>
    <rPh sb="0" eb="2">
      <t>キュウシュウ</t>
    </rPh>
    <phoneticPr fontId="2"/>
  </si>
  <si>
    <t>shikase</t>
    <phoneticPr fontId="2"/>
  </si>
  <si>
    <t>東北</t>
    <rPh sb="0" eb="2">
      <t>トウホク</t>
    </rPh>
    <phoneticPr fontId="2"/>
  </si>
  <si>
    <t>winter_2521</t>
    <phoneticPr fontId="2"/>
  </si>
  <si>
    <t>zerozero_00</t>
    <phoneticPr fontId="2"/>
  </si>
  <si>
    <t>color</t>
    <phoneticPr fontId="2"/>
  </si>
  <si>
    <t>now_rating</t>
    <phoneticPr fontId="2"/>
  </si>
  <si>
    <t>回数</t>
    <rPh sb="0" eb="2">
      <t>カイスウ</t>
    </rPh>
    <phoneticPr fontId="2"/>
  </si>
  <si>
    <t>合計問題数</t>
    <rPh sb="0" eb="2">
      <t>ゴウケイ</t>
    </rPh>
    <rPh sb="2" eb="5">
      <t>モンダイスウ</t>
    </rPh>
    <phoneticPr fontId="2"/>
  </si>
  <si>
    <t>京都</t>
    <rPh sb="0" eb="2">
      <t>キョウト</t>
    </rPh>
    <phoneticPr fontId="2"/>
  </si>
  <si>
    <t>haruharufff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</si>
</sst>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6"/>
      <name val="游ゴシック"/>
      <family val="3"/>
      <charset val="128"/>
      <scheme val="minor"/>
    </font>
    <font>
      <b/>
      <sz val="11"/>
      <color theme="5" tint="-0.499984740745262"/>
      <name val="游ゴシック"/>
      <family val="3"/>
      <charset val="128"/>
      <scheme val="minor"/>
    </font>
    <font>
      <b/>
      <sz val="11"/>
      <color rgb="FF00B0F0"/>
      <name val="游ゴシック"/>
      <family val="3"/>
      <charset val="128"/>
      <scheme val="minor"/>
    </font>
    <font>
      <b/>
      <sz val="11"/>
      <color rgb="FF002060"/>
      <name val="游ゴシック"/>
      <family val="3"/>
      <charset val="128"/>
      <scheme val="minor"/>
    </font>
    <font>
      <b/>
      <sz val="11"/>
      <color rgb="FFFFC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kaijoh</c:v>
                </c:pt>
                <c:pt idx="1">
                  <c:v>O24</c:v>
                </c:pt>
                <c:pt idx="2">
                  <c:v>monsoon7</c:v>
                </c:pt>
                <c:pt idx="3">
                  <c:v>rmp</c:v>
                </c:pt>
                <c:pt idx="4">
                  <c:v>zerozero_00</c:v>
                </c:pt>
                <c:pt idx="5">
                  <c:v>shikase</c:v>
                </c:pt>
                <c:pt idx="6">
                  <c:v>gengar_094</c:v>
                </c:pt>
                <c:pt idx="7">
                  <c:v>haruharufff</c:v>
                </c:pt>
                <c:pt idx="8">
                  <c:v>lp_ql</c:v>
                </c:pt>
                <c:pt idx="9">
                  <c:v>winter_2521</c:v>
                </c:pt>
                <c:pt idx="10">
                  <c:v>achapi</c:v>
                </c:pt>
                <c:pt idx="11">
                  <c:v>a01sa01to</c:v>
                </c:pt>
                <c:pt idx="12">
                  <c:v>Rice_tawara495</c:v>
                </c:pt>
                <c:pt idx="13">
                  <c:v>blackyuki</c:v>
                </c:pt>
                <c:pt idx="14">
                  <c:v>PCTprobability</c:v>
                </c:pt>
              </c:strCache>
            </c:str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373</c:v>
                </c:pt>
                <c:pt idx="1">
                  <c:v>59</c:v>
                </c:pt>
                <c:pt idx="2">
                  <c:v>136</c:v>
                </c:pt>
                <c:pt idx="3">
                  <c:v>116</c:v>
                </c:pt>
                <c:pt idx="4">
                  <c:v>432</c:v>
                </c:pt>
                <c:pt idx="5">
                  <c:v>214</c:v>
                </c:pt>
                <c:pt idx="6">
                  <c:v>1140</c:v>
                </c:pt>
                <c:pt idx="7">
                  <c:v>398</c:v>
                </c:pt>
                <c:pt idx="8">
                  <c:v>338</c:v>
                </c:pt>
                <c:pt idx="9">
                  <c:v>685</c:v>
                </c:pt>
                <c:pt idx="10">
                  <c:v>1204</c:v>
                </c:pt>
                <c:pt idx="11">
                  <c:v>1204</c:v>
                </c:pt>
                <c:pt idx="12">
                  <c:v>1095</c:v>
                </c:pt>
                <c:pt idx="13">
                  <c:v>311</c:v>
                </c:pt>
                <c:pt idx="14">
                  <c:v>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0-4D1B-8A5F-83A07BC722E4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茶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kaijoh</c:v>
                </c:pt>
                <c:pt idx="1">
                  <c:v>O24</c:v>
                </c:pt>
                <c:pt idx="2">
                  <c:v>monsoon7</c:v>
                </c:pt>
                <c:pt idx="3">
                  <c:v>rmp</c:v>
                </c:pt>
                <c:pt idx="4">
                  <c:v>zerozero_00</c:v>
                </c:pt>
                <c:pt idx="5">
                  <c:v>shikase</c:v>
                </c:pt>
                <c:pt idx="6">
                  <c:v>gengar_094</c:v>
                </c:pt>
                <c:pt idx="7">
                  <c:v>haruharufff</c:v>
                </c:pt>
                <c:pt idx="8">
                  <c:v>lp_ql</c:v>
                </c:pt>
                <c:pt idx="9">
                  <c:v>winter_2521</c:v>
                </c:pt>
                <c:pt idx="10">
                  <c:v>achapi</c:v>
                </c:pt>
                <c:pt idx="11">
                  <c:v>a01sa01to</c:v>
                </c:pt>
                <c:pt idx="12">
                  <c:v>Rice_tawara495</c:v>
                </c:pt>
                <c:pt idx="13">
                  <c:v>blackyuki</c:v>
                </c:pt>
                <c:pt idx="14">
                  <c:v>PCTprobability</c:v>
                </c:pt>
              </c:strCache>
            </c:str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4</c:v>
                </c:pt>
                <c:pt idx="1">
                  <c:v>14</c:v>
                </c:pt>
                <c:pt idx="2">
                  <c:v>7</c:v>
                </c:pt>
                <c:pt idx="3">
                  <c:v>11</c:v>
                </c:pt>
                <c:pt idx="4">
                  <c:v>162</c:v>
                </c:pt>
                <c:pt idx="5">
                  <c:v>135</c:v>
                </c:pt>
                <c:pt idx="6">
                  <c:v>321</c:v>
                </c:pt>
                <c:pt idx="7">
                  <c:v>93</c:v>
                </c:pt>
                <c:pt idx="8">
                  <c:v>82</c:v>
                </c:pt>
                <c:pt idx="9">
                  <c:v>236</c:v>
                </c:pt>
                <c:pt idx="10">
                  <c:v>402</c:v>
                </c:pt>
                <c:pt idx="11">
                  <c:v>406</c:v>
                </c:pt>
                <c:pt idx="12">
                  <c:v>356</c:v>
                </c:pt>
                <c:pt idx="13">
                  <c:v>97</c:v>
                </c:pt>
                <c:pt idx="14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00-4D1B-8A5F-83A07BC722E4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緑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kaijoh</c:v>
                </c:pt>
                <c:pt idx="1">
                  <c:v>O24</c:v>
                </c:pt>
                <c:pt idx="2">
                  <c:v>monsoon7</c:v>
                </c:pt>
                <c:pt idx="3">
                  <c:v>rmp</c:v>
                </c:pt>
                <c:pt idx="4">
                  <c:v>zerozero_00</c:v>
                </c:pt>
                <c:pt idx="5">
                  <c:v>shikase</c:v>
                </c:pt>
                <c:pt idx="6">
                  <c:v>gengar_094</c:v>
                </c:pt>
                <c:pt idx="7">
                  <c:v>haruharufff</c:v>
                </c:pt>
                <c:pt idx="8">
                  <c:v>lp_ql</c:v>
                </c:pt>
                <c:pt idx="9">
                  <c:v>winter_2521</c:v>
                </c:pt>
                <c:pt idx="10">
                  <c:v>achapi</c:v>
                </c:pt>
                <c:pt idx="11">
                  <c:v>a01sa01to</c:v>
                </c:pt>
                <c:pt idx="12">
                  <c:v>Rice_tawara495</c:v>
                </c:pt>
                <c:pt idx="13">
                  <c:v>blackyuki</c:v>
                </c:pt>
                <c:pt idx="14">
                  <c:v>PCTprobability</c:v>
                </c:pt>
              </c:strCache>
            </c:strRef>
          </c:cat>
          <c:val>
            <c:numRef>
              <c:f>Sheet1!$H$2:$H$16</c:f>
              <c:numCache>
                <c:formatCode>General</c:formatCode>
                <c:ptCount val="15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  <c:pt idx="4">
                  <c:v>26</c:v>
                </c:pt>
                <c:pt idx="5">
                  <c:v>190</c:v>
                </c:pt>
                <c:pt idx="6">
                  <c:v>251</c:v>
                </c:pt>
                <c:pt idx="7">
                  <c:v>116</c:v>
                </c:pt>
                <c:pt idx="8">
                  <c:v>106</c:v>
                </c:pt>
                <c:pt idx="9">
                  <c:v>192</c:v>
                </c:pt>
                <c:pt idx="10">
                  <c:v>395</c:v>
                </c:pt>
                <c:pt idx="11">
                  <c:v>417</c:v>
                </c:pt>
                <c:pt idx="12">
                  <c:v>370</c:v>
                </c:pt>
                <c:pt idx="13">
                  <c:v>112</c:v>
                </c:pt>
                <c:pt idx="14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00-4D1B-8A5F-83A07BC722E4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水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kaijoh</c:v>
                </c:pt>
                <c:pt idx="1">
                  <c:v>O24</c:v>
                </c:pt>
                <c:pt idx="2">
                  <c:v>monsoon7</c:v>
                </c:pt>
                <c:pt idx="3">
                  <c:v>rmp</c:v>
                </c:pt>
                <c:pt idx="4">
                  <c:v>zerozero_00</c:v>
                </c:pt>
                <c:pt idx="5">
                  <c:v>shikase</c:v>
                </c:pt>
                <c:pt idx="6">
                  <c:v>gengar_094</c:v>
                </c:pt>
                <c:pt idx="7">
                  <c:v>haruharufff</c:v>
                </c:pt>
                <c:pt idx="8">
                  <c:v>lp_ql</c:v>
                </c:pt>
                <c:pt idx="9">
                  <c:v>winter_2521</c:v>
                </c:pt>
                <c:pt idx="10">
                  <c:v>achapi</c:v>
                </c:pt>
                <c:pt idx="11">
                  <c:v>a01sa01to</c:v>
                </c:pt>
                <c:pt idx="12">
                  <c:v>Rice_tawara495</c:v>
                </c:pt>
                <c:pt idx="13">
                  <c:v>blackyuki</c:v>
                </c:pt>
                <c:pt idx="14">
                  <c:v>PCTprobability</c:v>
                </c:pt>
              </c:strCache>
            </c:strRef>
          </c:cat>
          <c:val>
            <c:numRef>
              <c:f>Sheet1!$I$2:$I$16</c:f>
              <c:numCache>
                <c:formatCode>General</c:formatCode>
                <c:ptCount val="15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5">
                  <c:v>213</c:v>
                </c:pt>
                <c:pt idx="6">
                  <c:v>133</c:v>
                </c:pt>
                <c:pt idx="7">
                  <c:v>104</c:v>
                </c:pt>
                <c:pt idx="8">
                  <c:v>338</c:v>
                </c:pt>
                <c:pt idx="9">
                  <c:v>189</c:v>
                </c:pt>
                <c:pt idx="10">
                  <c:v>332</c:v>
                </c:pt>
                <c:pt idx="11">
                  <c:v>379</c:v>
                </c:pt>
                <c:pt idx="12">
                  <c:v>404</c:v>
                </c:pt>
                <c:pt idx="13">
                  <c:v>122</c:v>
                </c:pt>
                <c:pt idx="14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00-4D1B-8A5F-83A07BC722E4}"/>
            </c:ext>
          </c:extLst>
        </c:ser>
        <c:ser>
          <c:idx val="4"/>
          <c:order val="4"/>
          <c:tx>
            <c:strRef>
              <c:f>Sheet1!$J$1</c:f>
              <c:strCache>
                <c:ptCount val="1"/>
                <c:pt idx="0">
                  <c:v>青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kaijoh</c:v>
                </c:pt>
                <c:pt idx="1">
                  <c:v>O24</c:v>
                </c:pt>
                <c:pt idx="2">
                  <c:v>monsoon7</c:v>
                </c:pt>
                <c:pt idx="3">
                  <c:v>rmp</c:v>
                </c:pt>
                <c:pt idx="4">
                  <c:v>zerozero_00</c:v>
                </c:pt>
                <c:pt idx="5">
                  <c:v>shikase</c:v>
                </c:pt>
                <c:pt idx="6">
                  <c:v>gengar_094</c:v>
                </c:pt>
                <c:pt idx="7">
                  <c:v>haruharufff</c:v>
                </c:pt>
                <c:pt idx="8">
                  <c:v>lp_ql</c:v>
                </c:pt>
                <c:pt idx="9">
                  <c:v>winter_2521</c:v>
                </c:pt>
                <c:pt idx="10">
                  <c:v>achapi</c:v>
                </c:pt>
                <c:pt idx="11">
                  <c:v>a01sa01to</c:v>
                </c:pt>
                <c:pt idx="12">
                  <c:v>Rice_tawara495</c:v>
                </c:pt>
                <c:pt idx="13">
                  <c:v>blackyuki</c:v>
                </c:pt>
                <c:pt idx="14">
                  <c:v>PCTprobability</c:v>
                </c:pt>
              </c:strCache>
            </c:strRef>
          </c:cat>
          <c:val>
            <c:numRef>
              <c:f>Sheet1!$J$2:$J$16</c:f>
              <c:numCache>
                <c:formatCode>General</c:formatCode>
                <c:ptCount val="15"/>
                <c:pt idx="3">
                  <c:v>1</c:v>
                </c:pt>
                <c:pt idx="5">
                  <c:v>57</c:v>
                </c:pt>
                <c:pt idx="6">
                  <c:v>31</c:v>
                </c:pt>
                <c:pt idx="7">
                  <c:v>39</c:v>
                </c:pt>
                <c:pt idx="8">
                  <c:v>265</c:v>
                </c:pt>
                <c:pt idx="9">
                  <c:v>71</c:v>
                </c:pt>
                <c:pt idx="10">
                  <c:v>122</c:v>
                </c:pt>
                <c:pt idx="11">
                  <c:v>145</c:v>
                </c:pt>
                <c:pt idx="12">
                  <c:v>371</c:v>
                </c:pt>
                <c:pt idx="13">
                  <c:v>155</c:v>
                </c:pt>
                <c:pt idx="14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00-4D1B-8A5F-83A07BC722E4}"/>
            </c:ext>
          </c:extLst>
        </c:ser>
        <c:ser>
          <c:idx val="5"/>
          <c:order val="5"/>
          <c:tx>
            <c:strRef>
              <c:f>Sheet1!$K$1</c:f>
              <c:strCache>
                <c:ptCount val="1"/>
                <c:pt idx="0">
                  <c:v>黄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kaijoh</c:v>
                </c:pt>
                <c:pt idx="1">
                  <c:v>O24</c:v>
                </c:pt>
                <c:pt idx="2">
                  <c:v>monsoon7</c:v>
                </c:pt>
                <c:pt idx="3">
                  <c:v>rmp</c:v>
                </c:pt>
                <c:pt idx="4">
                  <c:v>zerozero_00</c:v>
                </c:pt>
                <c:pt idx="5">
                  <c:v>shikase</c:v>
                </c:pt>
                <c:pt idx="6">
                  <c:v>gengar_094</c:v>
                </c:pt>
                <c:pt idx="7">
                  <c:v>haruharufff</c:v>
                </c:pt>
                <c:pt idx="8">
                  <c:v>lp_ql</c:v>
                </c:pt>
                <c:pt idx="9">
                  <c:v>winter_2521</c:v>
                </c:pt>
                <c:pt idx="10">
                  <c:v>achapi</c:v>
                </c:pt>
                <c:pt idx="11">
                  <c:v>a01sa01to</c:v>
                </c:pt>
                <c:pt idx="12">
                  <c:v>Rice_tawara495</c:v>
                </c:pt>
                <c:pt idx="13">
                  <c:v>blackyuki</c:v>
                </c:pt>
                <c:pt idx="14">
                  <c:v>PCTprobability</c:v>
                </c:pt>
              </c:strCache>
            </c:strRef>
          </c:cat>
          <c:val>
            <c:numRef>
              <c:f>Sheet1!$K$2:$K$16</c:f>
              <c:numCache>
                <c:formatCode>General</c:formatCode>
                <c:ptCount val="15"/>
                <c:pt idx="6">
                  <c:v>7</c:v>
                </c:pt>
                <c:pt idx="7">
                  <c:v>1</c:v>
                </c:pt>
                <c:pt idx="8">
                  <c:v>76</c:v>
                </c:pt>
                <c:pt idx="9">
                  <c:v>15</c:v>
                </c:pt>
                <c:pt idx="10">
                  <c:v>13</c:v>
                </c:pt>
                <c:pt idx="11">
                  <c:v>17</c:v>
                </c:pt>
                <c:pt idx="12">
                  <c:v>307</c:v>
                </c:pt>
                <c:pt idx="13">
                  <c:v>196</c:v>
                </c:pt>
                <c:pt idx="1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00-4D1B-8A5F-83A07BC722E4}"/>
            </c:ext>
          </c:extLst>
        </c:ser>
        <c:ser>
          <c:idx val="6"/>
          <c:order val="6"/>
          <c:tx>
            <c:strRef>
              <c:f>Sheet1!$L$1</c:f>
              <c:strCache>
                <c:ptCount val="1"/>
                <c:pt idx="0">
                  <c:v>橙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kaijoh</c:v>
                </c:pt>
                <c:pt idx="1">
                  <c:v>O24</c:v>
                </c:pt>
                <c:pt idx="2">
                  <c:v>monsoon7</c:v>
                </c:pt>
                <c:pt idx="3">
                  <c:v>rmp</c:v>
                </c:pt>
                <c:pt idx="4">
                  <c:v>zerozero_00</c:v>
                </c:pt>
                <c:pt idx="5">
                  <c:v>shikase</c:v>
                </c:pt>
                <c:pt idx="6">
                  <c:v>gengar_094</c:v>
                </c:pt>
                <c:pt idx="7">
                  <c:v>haruharufff</c:v>
                </c:pt>
                <c:pt idx="8">
                  <c:v>lp_ql</c:v>
                </c:pt>
                <c:pt idx="9">
                  <c:v>winter_2521</c:v>
                </c:pt>
                <c:pt idx="10">
                  <c:v>achapi</c:v>
                </c:pt>
                <c:pt idx="11">
                  <c:v>a01sa01to</c:v>
                </c:pt>
                <c:pt idx="12">
                  <c:v>Rice_tawara495</c:v>
                </c:pt>
                <c:pt idx="13">
                  <c:v>blackyuki</c:v>
                </c:pt>
                <c:pt idx="14">
                  <c:v>PCTprobability</c:v>
                </c:pt>
              </c:strCache>
            </c:strRef>
          </c:cat>
          <c:val>
            <c:numRef>
              <c:f>Sheet1!$L$2:$L$16</c:f>
              <c:numCache>
                <c:formatCode>General</c:formatCode>
                <c:ptCount val="15"/>
                <c:pt idx="6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127</c:v>
                </c:pt>
                <c:pt idx="13">
                  <c:v>150</c:v>
                </c:pt>
                <c:pt idx="1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00-4D1B-8A5F-83A07BC722E4}"/>
            </c:ext>
          </c:extLst>
        </c:ser>
        <c:ser>
          <c:idx val="7"/>
          <c:order val="7"/>
          <c:tx>
            <c:strRef>
              <c:f>Sheet1!$M$1</c:f>
              <c:strCache>
                <c:ptCount val="1"/>
                <c:pt idx="0">
                  <c:v>赤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kaijoh</c:v>
                </c:pt>
                <c:pt idx="1">
                  <c:v>O24</c:v>
                </c:pt>
                <c:pt idx="2">
                  <c:v>monsoon7</c:v>
                </c:pt>
                <c:pt idx="3">
                  <c:v>rmp</c:v>
                </c:pt>
                <c:pt idx="4">
                  <c:v>zerozero_00</c:v>
                </c:pt>
                <c:pt idx="5">
                  <c:v>shikase</c:v>
                </c:pt>
                <c:pt idx="6">
                  <c:v>gengar_094</c:v>
                </c:pt>
                <c:pt idx="7">
                  <c:v>haruharufff</c:v>
                </c:pt>
                <c:pt idx="8">
                  <c:v>lp_ql</c:v>
                </c:pt>
                <c:pt idx="9">
                  <c:v>winter_2521</c:v>
                </c:pt>
                <c:pt idx="10">
                  <c:v>achapi</c:v>
                </c:pt>
                <c:pt idx="11">
                  <c:v>a01sa01to</c:v>
                </c:pt>
                <c:pt idx="12">
                  <c:v>Rice_tawara495</c:v>
                </c:pt>
                <c:pt idx="13">
                  <c:v>blackyuki</c:v>
                </c:pt>
                <c:pt idx="14">
                  <c:v>PCTprobability</c:v>
                </c:pt>
              </c:strCache>
            </c:strRef>
          </c:cat>
          <c:val>
            <c:numRef>
              <c:f>Sheet1!$M$2:$M$16</c:f>
              <c:numCache>
                <c:formatCode>General</c:formatCode>
                <c:ptCount val="15"/>
                <c:pt idx="8">
                  <c:v>3</c:v>
                </c:pt>
                <c:pt idx="12">
                  <c:v>47</c:v>
                </c:pt>
                <c:pt idx="13">
                  <c:v>88</c:v>
                </c:pt>
                <c:pt idx="1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00-4D1B-8A5F-83A07BC722E4}"/>
            </c:ext>
          </c:extLst>
        </c:ser>
        <c:ser>
          <c:idx val="8"/>
          <c:order val="8"/>
          <c:tx>
            <c:strRef>
              <c:f>Sheet1!$N$1</c:f>
              <c:strCache>
                <c:ptCount val="1"/>
                <c:pt idx="0">
                  <c:v>銅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75000"/>
                    <a:shade val="30000"/>
                    <a:satMod val="115000"/>
                  </a:schemeClr>
                </a:gs>
                <a:gs pos="50000">
                  <a:schemeClr val="accent2">
                    <a:lumMod val="75000"/>
                    <a:shade val="67500"/>
                    <a:satMod val="115000"/>
                  </a:schemeClr>
                </a:gs>
                <a:gs pos="100000">
                  <a:schemeClr val="accent2">
                    <a:lumMod val="75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kaijoh</c:v>
                </c:pt>
                <c:pt idx="1">
                  <c:v>O24</c:v>
                </c:pt>
                <c:pt idx="2">
                  <c:v>monsoon7</c:v>
                </c:pt>
                <c:pt idx="3">
                  <c:v>rmp</c:v>
                </c:pt>
                <c:pt idx="4">
                  <c:v>zerozero_00</c:v>
                </c:pt>
                <c:pt idx="5">
                  <c:v>shikase</c:v>
                </c:pt>
                <c:pt idx="6">
                  <c:v>gengar_094</c:v>
                </c:pt>
                <c:pt idx="7">
                  <c:v>haruharufff</c:v>
                </c:pt>
                <c:pt idx="8">
                  <c:v>lp_ql</c:v>
                </c:pt>
                <c:pt idx="9">
                  <c:v>winter_2521</c:v>
                </c:pt>
                <c:pt idx="10">
                  <c:v>achapi</c:v>
                </c:pt>
                <c:pt idx="11">
                  <c:v>a01sa01to</c:v>
                </c:pt>
                <c:pt idx="12">
                  <c:v>Rice_tawara495</c:v>
                </c:pt>
                <c:pt idx="13">
                  <c:v>blackyuki</c:v>
                </c:pt>
                <c:pt idx="14">
                  <c:v>PCTprobability</c:v>
                </c:pt>
              </c:strCache>
            </c:strRef>
          </c:cat>
          <c:val>
            <c:numRef>
              <c:f>Sheet1!$N$2:$N$16</c:f>
              <c:numCache>
                <c:formatCode>General</c:formatCode>
                <c:ptCount val="15"/>
                <c:pt idx="10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00-4D1B-8A5F-83A07BC722E4}"/>
            </c:ext>
          </c:extLst>
        </c:ser>
        <c:ser>
          <c:idx val="9"/>
          <c:order val="9"/>
          <c:tx>
            <c:strRef>
              <c:f>Sheet1!$O$1</c:f>
              <c:strCache>
                <c:ptCount val="1"/>
                <c:pt idx="0">
                  <c:v>銀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kaijoh</c:v>
                </c:pt>
                <c:pt idx="1">
                  <c:v>O24</c:v>
                </c:pt>
                <c:pt idx="2">
                  <c:v>monsoon7</c:v>
                </c:pt>
                <c:pt idx="3">
                  <c:v>rmp</c:v>
                </c:pt>
                <c:pt idx="4">
                  <c:v>zerozero_00</c:v>
                </c:pt>
                <c:pt idx="5">
                  <c:v>shikase</c:v>
                </c:pt>
                <c:pt idx="6">
                  <c:v>gengar_094</c:v>
                </c:pt>
                <c:pt idx="7">
                  <c:v>haruharufff</c:v>
                </c:pt>
                <c:pt idx="8">
                  <c:v>lp_ql</c:v>
                </c:pt>
                <c:pt idx="9">
                  <c:v>winter_2521</c:v>
                </c:pt>
                <c:pt idx="10">
                  <c:v>achapi</c:v>
                </c:pt>
                <c:pt idx="11">
                  <c:v>a01sa01to</c:v>
                </c:pt>
                <c:pt idx="12">
                  <c:v>Rice_tawara495</c:v>
                </c:pt>
                <c:pt idx="13">
                  <c:v>blackyuki</c:v>
                </c:pt>
                <c:pt idx="14">
                  <c:v>PCTprobability</c:v>
                </c:pt>
              </c:strCache>
            </c:strRef>
          </c:cat>
          <c:val>
            <c:numRef>
              <c:f>Sheet1!$O$2:$O$16</c:f>
              <c:numCache>
                <c:formatCode>General</c:formatCode>
                <c:ptCount val="15"/>
                <c:pt idx="12">
                  <c:v>1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F00-4D1B-8A5F-83A07BC72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3905456"/>
        <c:axId val="283900656"/>
      </c:barChart>
      <c:catAx>
        <c:axId val="28390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3900656"/>
        <c:crosses val="autoZero"/>
        <c:auto val="1"/>
        <c:lblAlgn val="ctr"/>
        <c:lblOffset val="100"/>
        <c:noMultiLvlLbl val="0"/>
      </c:catAx>
      <c:valAx>
        <c:axId val="28390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390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合計問題数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Sheet1!$D$2:$D$16</c:f>
              <c:numCache>
                <c:formatCode>General</c:formatCode>
                <c:ptCount val="15"/>
                <c:pt idx="0">
                  <c:v>55</c:v>
                </c:pt>
                <c:pt idx="1">
                  <c:v>643</c:v>
                </c:pt>
                <c:pt idx="2">
                  <c:v>660</c:v>
                </c:pt>
                <c:pt idx="3">
                  <c:v>664</c:v>
                </c:pt>
                <c:pt idx="4">
                  <c:v>741</c:v>
                </c:pt>
                <c:pt idx="5">
                  <c:v>1283</c:v>
                </c:pt>
                <c:pt idx="6">
                  <c:v>1322</c:v>
                </c:pt>
                <c:pt idx="7">
                  <c:v>1458</c:v>
                </c:pt>
                <c:pt idx="8">
                  <c:v>1493</c:v>
                </c:pt>
                <c:pt idx="9">
                  <c:v>1520</c:v>
                </c:pt>
                <c:pt idx="10">
                  <c:v>1568</c:v>
                </c:pt>
                <c:pt idx="11">
                  <c:v>1748</c:v>
                </c:pt>
                <c:pt idx="12">
                  <c:v>2489</c:v>
                </c:pt>
                <c:pt idx="13">
                  <c:v>2848</c:v>
                </c:pt>
                <c:pt idx="14">
                  <c:v>3005</c:v>
                </c:pt>
              </c:numCache>
            </c:numRef>
          </c:xVal>
          <c:yVal>
            <c:numRef>
              <c:f>Sheet1!$P$2:$P$16</c:f>
              <c:numCache>
                <c:formatCode>General</c:formatCode>
                <c:ptCount val="15"/>
                <c:pt idx="0">
                  <c:v>382</c:v>
                </c:pt>
                <c:pt idx="1">
                  <c:v>94</c:v>
                </c:pt>
                <c:pt idx="2">
                  <c:v>177</c:v>
                </c:pt>
                <c:pt idx="3">
                  <c:v>172</c:v>
                </c:pt>
                <c:pt idx="4">
                  <c:v>673</c:v>
                </c:pt>
                <c:pt idx="5">
                  <c:v>846</c:v>
                </c:pt>
                <c:pt idx="6">
                  <c:v>2105</c:v>
                </c:pt>
                <c:pt idx="7">
                  <c:v>867</c:v>
                </c:pt>
                <c:pt idx="8">
                  <c:v>1279</c:v>
                </c:pt>
                <c:pt idx="9">
                  <c:v>1520</c:v>
                </c:pt>
                <c:pt idx="10">
                  <c:v>2726</c:v>
                </c:pt>
                <c:pt idx="11">
                  <c:v>2698</c:v>
                </c:pt>
                <c:pt idx="12">
                  <c:v>3168</c:v>
                </c:pt>
                <c:pt idx="13">
                  <c:v>1305</c:v>
                </c:pt>
                <c:pt idx="14">
                  <c:v>2491</c:v>
                </c:pt>
              </c:numCache>
            </c:numRef>
          </c:yVal>
          <c:bubbleSize>
            <c:numRef>
              <c:f>Sheet1!$Q$2:$Q$16</c:f>
              <c:numCache>
                <c:formatCode>General</c:formatCode>
                <c:ptCount val="15"/>
                <c:pt idx="0">
                  <c:v>78000</c:v>
                </c:pt>
                <c:pt idx="1">
                  <c:v>28600</c:v>
                </c:pt>
                <c:pt idx="2">
                  <c:v>36800</c:v>
                </c:pt>
                <c:pt idx="3">
                  <c:v>42400</c:v>
                </c:pt>
                <c:pt idx="4">
                  <c:v>209600</c:v>
                </c:pt>
                <c:pt idx="5">
                  <c:v>714600</c:v>
                </c:pt>
                <c:pt idx="6">
                  <c:v>931600</c:v>
                </c:pt>
                <c:pt idx="7">
                  <c:v>469400</c:v>
                </c:pt>
                <c:pt idx="8">
                  <c:v>1357000</c:v>
                </c:pt>
                <c:pt idx="9">
                  <c:v>898600</c:v>
                </c:pt>
                <c:pt idx="10">
                  <c:v>1598600</c:v>
                </c:pt>
                <c:pt idx="11">
                  <c:v>1735600</c:v>
                </c:pt>
                <c:pt idx="12">
                  <c:v>3200000</c:v>
                </c:pt>
                <c:pt idx="13">
                  <c:v>1787800</c:v>
                </c:pt>
                <c:pt idx="14">
                  <c:v>3075400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5C29-4C0D-918B-79974E56DC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2062468304"/>
        <c:axId val="2062486544"/>
      </c:bubbleChart>
      <c:valAx>
        <c:axId val="206246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2486544"/>
        <c:crosses val="autoZero"/>
        <c:crossBetween val="midCat"/>
      </c:valAx>
      <c:valAx>
        <c:axId val="206248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246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Total_P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Sheet1!$D$2:$D$16</c:f>
              <c:numCache>
                <c:formatCode>General</c:formatCode>
                <c:ptCount val="15"/>
                <c:pt idx="0">
                  <c:v>55</c:v>
                </c:pt>
                <c:pt idx="1">
                  <c:v>643</c:v>
                </c:pt>
                <c:pt idx="2">
                  <c:v>660</c:v>
                </c:pt>
                <c:pt idx="3">
                  <c:v>664</c:v>
                </c:pt>
                <c:pt idx="4">
                  <c:v>741</c:v>
                </c:pt>
                <c:pt idx="5">
                  <c:v>1283</c:v>
                </c:pt>
                <c:pt idx="6">
                  <c:v>1322</c:v>
                </c:pt>
                <c:pt idx="7">
                  <c:v>1458</c:v>
                </c:pt>
                <c:pt idx="8">
                  <c:v>1493</c:v>
                </c:pt>
                <c:pt idx="9">
                  <c:v>1520</c:v>
                </c:pt>
                <c:pt idx="10">
                  <c:v>1568</c:v>
                </c:pt>
                <c:pt idx="11">
                  <c:v>1748</c:v>
                </c:pt>
                <c:pt idx="12">
                  <c:v>2489</c:v>
                </c:pt>
                <c:pt idx="13">
                  <c:v>2848</c:v>
                </c:pt>
                <c:pt idx="14">
                  <c:v>3005</c:v>
                </c:pt>
              </c:numCache>
            </c:numRef>
          </c:xVal>
          <c:yVal>
            <c:numRef>
              <c:f>Sheet1!$Q$2:$Q$16</c:f>
              <c:numCache>
                <c:formatCode>General</c:formatCode>
                <c:ptCount val="15"/>
                <c:pt idx="0">
                  <c:v>78000</c:v>
                </c:pt>
                <c:pt idx="1">
                  <c:v>28600</c:v>
                </c:pt>
                <c:pt idx="2">
                  <c:v>36800</c:v>
                </c:pt>
                <c:pt idx="3">
                  <c:v>42400</c:v>
                </c:pt>
                <c:pt idx="4">
                  <c:v>209600</c:v>
                </c:pt>
                <c:pt idx="5">
                  <c:v>714600</c:v>
                </c:pt>
                <c:pt idx="6">
                  <c:v>931600</c:v>
                </c:pt>
                <c:pt idx="7">
                  <c:v>469400</c:v>
                </c:pt>
                <c:pt idx="8">
                  <c:v>1357000</c:v>
                </c:pt>
                <c:pt idx="9">
                  <c:v>898600</c:v>
                </c:pt>
                <c:pt idx="10">
                  <c:v>1598600</c:v>
                </c:pt>
                <c:pt idx="11">
                  <c:v>1735600</c:v>
                </c:pt>
                <c:pt idx="12">
                  <c:v>3200000</c:v>
                </c:pt>
                <c:pt idx="13">
                  <c:v>1787800</c:v>
                </c:pt>
                <c:pt idx="14">
                  <c:v>3075400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C6-4CA7-8D0C-14528994C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956816"/>
        <c:axId val="283958736"/>
      </c:scatterChart>
      <c:valAx>
        <c:axId val="28395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3958736"/>
        <c:crosses val="autoZero"/>
        <c:crossBetween val="midCat"/>
      </c:valAx>
      <c:valAx>
        <c:axId val="28395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395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412750</xdr:colOff>
      <xdr:row>37</xdr:row>
      <xdr:rowOff>28574</xdr:rowOff>
    </xdr:from>
    <xdr:to>
      <xdr:col>15</xdr:col>
      <xdr:colOff>177800</xdr:colOff>
      <xdr:row>55</xdr:row>
      <xdr:rowOff>76200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CC62BEC-C42B-7B47-9ED9-08FE334C7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850900</xdr:colOff>
      <xdr:row>17</xdr:row>
      <xdr:rowOff>95250</xdr:rowOff>
    </xdr:from>
    <xdr:to>
      <xdr:col>9</xdr:col>
      <xdr:colOff>457200</xdr:colOff>
      <xdr:row>34</xdr:row>
      <xdr:rowOff>76200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ACB329B-FB68-D92F-5EDC-A89F05C55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127000</xdr:colOff>
      <xdr:row>22</xdr:row>
      <xdr:rowOff>225425</xdr:rowOff>
    </xdr:from>
    <xdr:to>
      <xdr:col>8</xdr:col>
      <xdr:colOff>609600</xdr:colOff>
      <xdr:row>34</xdr:row>
      <xdr:rowOff>225425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19AAEA8-EDFD-9F49-8DC8-E1767981E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2D70-BF0B-4BC7-9110-224533000093}">
  <dimension ref="A1:Q16"/>
  <sheetViews>
    <sheetView tabSelected="1" topLeftCell="B1" workbookViewId="0">
      <selection activeCell="G15" sqref="G15"/>
    </sheetView>
  </sheetViews>
  <sheetFormatPr defaultRowHeight="18" x14ac:dyDescent="0.55000000000000004"/>
  <cols>
    <col min="2" max="2" width="14.08203125" customWidth="1"/>
    <col min="4" max="4" width="10.33203125" customWidth="1"/>
    <col min="16" max="16" width="9.75" customWidth="1"/>
  </cols>
  <sheetData>
    <row r="1" spans="1:17" x14ac:dyDescent="0.55000000000000004">
      <c r="A1" t="s">
        <v>12</v>
      </c>
      <c r="B1" t="s">
        <v>1</v>
      </c>
      <c r="C1" t="s">
        <v>38</v>
      </c>
      <c r="D1" t="s">
        <v>39</v>
      </c>
      <c r="E1" t="s">
        <v>40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41</v>
      </c>
      <c r="Q1" t="s">
        <v>14</v>
      </c>
    </row>
    <row r="2" spans="1:17" x14ac:dyDescent="0.55000000000000004">
      <c r="A2" t="s">
        <v>13</v>
      </c>
      <c r="B2" t="s">
        <v>0</v>
      </c>
      <c r="C2" s="2" t="s">
        <v>2</v>
      </c>
      <c r="D2">
        <v>55</v>
      </c>
      <c r="E2">
        <v>4</v>
      </c>
      <c r="F2">
        <v>373</v>
      </c>
      <c r="G2">
        <v>4</v>
      </c>
      <c r="H2">
        <v>1</v>
      </c>
      <c r="P2">
        <f>E2+F2+G2+H2+I2+J2+K2+L2+M2+N2+O2</f>
        <v>382</v>
      </c>
      <c r="Q2">
        <f>200*F2+600*G2+1000*H2+1400*I2+1800*J2+2200*K2+2600*L2+3000*M2+3400*N2+3800*O2</f>
        <v>78000</v>
      </c>
    </row>
    <row r="3" spans="1:17" x14ac:dyDescent="0.55000000000000004">
      <c r="A3" t="s">
        <v>15</v>
      </c>
      <c r="B3" t="s">
        <v>16</v>
      </c>
      <c r="C3" s="3" t="s">
        <v>3</v>
      </c>
      <c r="D3">
        <v>643</v>
      </c>
      <c r="E3">
        <v>13</v>
      </c>
      <c r="F3">
        <v>59</v>
      </c>
      <c r="G3">
        <v>14</v>
      </c>
      <c r="H3">
        <v>7</v>
      </c>
      <c r="I3">
        <v>1</v>
      </c>
      <c r="P3">
        <f>E3+F3+G3+H3+I3+J3+K3+L3+M3+N3+O3</f>
        <v>94</v>
      </c>
      <c r="Q3">
        <f>200*F3+600*G3+1000*H3+1400*I3+1800*J3+2200*K3+2600*L3+3000*M3+3400*N3+3800*O3</f>
        <v>28600</v>
      </c>
    </row>
    <row r="4" spans="1:17" x14ac:dyDescent="0.55000000000000004">
      <c r="A4" t="s">
        <v>31</v>
      </c>
      <c r="B4" s="1" t="s">
        <v>30</v>
      </c>
      <c r="C4" s="3" t="s">
        <v>3</v>
      </c>
      <c r="D4">
        <v>660</v>
      </c>
      <c r="E4">
        <v>29</v>
      </c>
      <c r="F4">
        <v>136</v>
      </c>
      <c r="G4">
        <v>7</v>
      </c>
      <c r="H4">
        <v>4</v>
      </c>
      <c r="I4">
        <v>1</v>
      </c>
      <c r="P4">
        <f>E4+F4+G4+H4+I4+J4+K4+L4+M4+N4+O4</f>
        <v>177</v>
      </c>
      <c r="Q4">
        <f>200*F4+600*G4+1000*H4+1400*I4+1800*J4+2200*K4+2600*L4+3000*M4+3400*N4+3800*O4</f>
        <v>36800</v>
      </c>
    </row>
    <row r="5" spans="1:17" x14ac:dyDescent="0.55000000000000004">
      <c r="A5" t="s">
        <v>33</v>
      </c>
      <c r="B5" s="1" t="s">
        <v>32</v>
      </c>
      <c r="C5" s="3" t="s">
        <v>3</v>
      </c>
      <c r="D5">
        <v>664</v>
      </c>
      <c r="E5">
        <v>34</v>
      </c>
      <c r="F5">
        <v>116</v>
      </c>
      <c r="G5">
        <v>11</v>
      </c>
      <c r="H5">
        <v>8</v>
      </c>
      <c r="I5">
        <v>2</v>
      </c>
      <c r="J5">
        <v>1</v>
      </c>
      <c r="P5">
        <f>E5+F5+G5+H5+I5+J5+K5+L5+M5+N5+O5</f>
        <v>172</v>
      </c>
      <c r="Q5">
        <f>200*F5+600*G5+1000*H5+1400*I5+1800*J5+2200*K5+2600*L5+3000*M5+3400*N5+3800*O5</f>
        <v>42400</v>
      </c>
    </row>
    <row r="6" spans="1:17" x14ac:dyDescent="0.55000000000000004">
      <c r="A6" t="s">
        <v>13</v>
      </c>
      <c r="B6" s="1" t="s">
        <v>37</v>
      </c>
      <c r="C6" s="3" t="s">
        <v>3</v>
      </c>
      <c r="D6">
        <v>741</v>
      </c>
      <c r="E6">
        <v>53</v>
      </c>
      <c r="F6">
        <v>432</v>
      </c>
      <c r="G6">
        <v>162</v>
      </c>
      <c r="H6">
        <v>26</v>
      </c>
      <c r="P6">
        <f>E6+F6+G6+H6+I6+J6+K6+L6+M6+N6+O6</f>
        <v>673</v>
      </c>
      <c r="Q6">
        <f>200*F6+600*G6+1000*H6+1400*I6+1800*J6+2200*K6+2600*L6+3000*M6+3400*N6+3800*O6</f>
        <v>209600</v>
      </c>
    </row>
    <row r="7" spans="1:17" x14ac:dyDescent="0.55000000000000004">
      <c r="A7" t="s">
        <v>35</v>
      </c>
      <c r="B7" s="1" t="s">
        <v>34</v>
      </c>
      <c r="C7" s="4" t="s">
        <v>5</v>
      </c>
      <c r="D7">
        <v>1283</v>
      </c>
      <c r="E7">
        <v>37</v>
      </c>
      <c r="F7">
        <v>214</v>
      </c>
      <c r="G7">
        <v>135</v>
      </c>
      <c r="H7">
        <v>190</v>
      </c>
      <c r="I7">
        <v>213</v>
      </c>
      <c r="J7">
        <v>57</v>
      </c>
      <c r="P7">
        <f>E7+F7+G7+H7+I7+J7+K7+L7+M7+N7+O7</f>
        <v>846</v>
      </c>
      <c r="Q7">
        <f>200*F7+600*G7+1000*H7+1400*I7+1800*J7+2200*K7+2600*L7+3000*M7+3400*N7+3800*O7</f>
        <v>714600</v>
      </c>
    </row>
    <row r="8" spans="1:17" x14ac:dyDescent="0.55000000000000004">
      <c r="A8" t="s">
        <v>27</v>
      </c>
      <c r="B8" s="1" t="s">
        <v>26</v>
      </c>
      <c r="C8" s="4" t="s">
        <v>5</v>
      </c>
      <c r="D8">
        <v>1322</v>
      </c>
      <c r="E8">
        <v>221</v>
      </c>
      <c r="F8">
        <v>1140</v>
      </c>
      <c r="G8">
        <v>321</v>
      </c>
      <c r="H8">
        <v>251</v>
      </c>
      <c r="I8">
        <v>133</v>
      </c>
      <c r="J8">
        <v>31</v>
      </c>
      <c r="K8">
        <v>7</v>
      </c>
      <c r="L8">
        <v>1</v>
      </c>
      <c r="P8">
        <f>E8+F8+G8+H8+I8+J8+K8+L8+M8+N8+O8</f>
        <v>2105</v>
      </c>
      <c r="Q8">
        <f>200*F8+600*G8+1000*H8+1400*I8+1800*J8+2200*K8+2600*L8+3000*M8+3400*N8+3800*O8</f>
        <v>931600</v>
      </c>
    </row>
    <row r="9" spans="1:17" x14ac:dyDescent="0.55000000000000004">
      <c r="A9" t="s">
        <v>42</v>
      </c>
      <c r="B9" t="s">
        <v>43</v>
      </c>
      <c r="C9" s="4" t="s">
        <v>5</v>
      </c>
      <c r="D9">
        <v>1458</v>
      </c>
      <c r="E9">
        <v>116</v>
      </c>
      <c r="F9">
        <v>398</v>
      </c>
      <c r="G9">
        <v>93</v>
      </c>
      <c r="H9">
        <v>116</v>
      </c>
      <c r="I9">
        <v>104</v>
      </c>
      <c r="J9">
        <v>39</v>
      </c>
      <c r="K9">
        <v>1</v>
      </c>
      <c r="P9">
        <f>E9+F9+G9+H9+I9+J9+K9+L9+M9+N9+O9</f>
        <v>867</v>
      </c>
      <c r="Q9">
        <f>200*F9+600*G9+1000*H9+1400*I9+1800*J9+2200*K9+2600*L9+3000*M9+3400*N9+3800*O9</f>
        <v>469400</v>
      </c>
    </row>
    <row r="10" spans="1:17" x14ac:dyDescent="0.55000000000000004">
      <c r="A10" t="s">
        <v>29</v>
      </c>
      <c r="B10" s="1" t="s">
        <v>28</v>
      </c>
      <c r="C10" s="4" t="s">
        <v>5</v>
      </c>
      <c r="D10">
        <v>1493</v>
      </c>
      <c r="E10">
        <v>68</v>
      </c>
      <c r="F10">
        <v>338</v>
      </c>
      <c r="G10">
        <v>82</v>
      </c>
      <c r="H10">
        <v>106</v>
      </c>
      <c r="I10">
        <v>338</v>
      </c>
      <c r="J10">
        <v>265</v>
      </c>
      <c r="K10">
        <v>76</v>
      </c>
      <c r="L10">
        <v>3</v>
      </c>
      <c r="M10">
        <v>3</v>
      </c>
      <c r="P10">
        <f>E10+F10+G10+H10+I10+J10+K10+L10+M10+N10+O10</f>
        <v>1279</v>
      </c>
      <c r="Q10">
        <f>200*F10+600*G10+1000*H10+1400*I10+1800*J10+2200*K10+2600*L10+3000*M10+3400*N10+3800*O10</f>
        <v>1357000</v>
      </c>
    </row>
    <row r="11" spans="1:17" x14ac:dyDescent="0.55000000000000004">
      <c r="A11" t="s">
        <v>29</v>
      </c>
      <c r="B11" s="1" t="s">
        <v>36</v>
      </c>
      <c r="C11" s="4" t="s">
        <v>5</v>
      </c>
      <c r="D11">
        <v>1520</v>
      </c>
      <c r="E11">
        <v>131</v>
      </c>
      <c r="F11">
        <v>685</v>
      </c>
      <c r="G11">
        <v>236</v>
      </c>
      <c r="H11">
        <v>192</v>
      </c>
      <c r="I11">
        <v>189</v>
      </c>
      <c r="J11">
        <v>71</v>
      </c>
      <c r="K11">
        <v>15</v>
      </c>
      <c r="L11">
        <v>1</v>
      </c>
      <c r="P11">
        <f>E11+F11+G11+H11+I11+J11+K11+L11+M11+N11+O11</f>
        <v>1520</v>
      </c>
      <c r="Q11">
        <f>200*F11+600*G11+1000*H11+1400*I11+1800*J11+2200*K11+2600*L11+3000*M11+3400*N11+3800*O11</f>
        <v>898600</v>
      </c>
    </row>
    <row r="12" spans="1:17" x14ac:dyDescent="0.55000000000000004">
      <c r="A12" t="s">
        <v>22</v>
      </c>
      <c r="B12" s="1" t="s">
        <v>23</v>
      </c>
      <c r="C12" s="4" t="s">
        <v>5</v>
      </c>
      <c r="D12">
        <v>1568</v>
      </c>
      <c r="E12">
        <v>255</v>
      </c>
      <c r="F12">
        <v>1204</v>
      </c>
      <c r="G12">
        <v>402</v>
      </c>
      <c r="H12">
        <v>395</v>
      </c>
      <c r="I12">
        <v>332</v>
      </c>
      <c r="J12">
        <v>122</v>
      </c>
      <c r="K12">
        <v>13</v>
      </c>
      <c r="L12">
        <v>2</v>
      </c>
      <c r="N12">
        <v>1</v>
      </c>
      <c r="P12">
        <f>E12+F12+G12+H12+I12+J12+K12+L12+M12+N12+O12</f>
        <v>2726</v>
      </c>
      <c r="Q12">
        <f>200*F12+600*G12+1000*H12+1400*I12+1800*J12+2200*K12+2600*L12+3000*M12+3400*N12+3800*O12</f>
        <v>1598600</v>
      </c>
    </row>
    <row r="13" spans="1:17" x14ac:dyDescent="0.55000000000000004">
      <c r="A13" t="s">
        <v>13</v>
      </c>
      <c r="B13" s="1" t="s">
        <v>21</v>
      </c>
      <c r="C13" s="5" t="s">
        <v>6</v>
      </c>
      <c r="D13">
        <v>1748</v>
      </c>
      <c r="E13">
        <v>128</v>
      </c>
      <c r="F13">
        <v>1204</v>
      </c>
      <c r="G13">
        <v>406</v>
      </c>
      <c r="H13">
        <v>417</v>
      </c>
      <c r="I13">
        <v>379</v>
      </c>
      <c r="J13">
        <v>145</v>
      </c>
      <c r="K13">
        <v>17</v>
      </c>
      <c r="L13">
        <v>2</v>
      </c>
      <c r="P13">
        <f>E13+F13+G13+H13+I13+J13+K13+L13+M13+N13+O13</f>
        <v>2698</v>
      </c>
      <c r="Q13">
        <f>200*F13+600*G13+1000*H13+1400*I13+1800*J13+2200*K13+2600*L13+3000*M13+3400*N13+3800*O13</f>
        <v>1735600</v>
      </c>
    </row>
    <row r="14" spans="1:17" x14ac:dyDescent="0.55000000000000004">
      <c r="A14" t="s">
        <v>20</v>
      </c>
      <c r="B14" t="s">
        <v>19</v>
      </c>
      <c r="C14" s="6" t="s">
        <v>8</v>
      </c>
      <c r="D14">
        <v>2489</v>
      </c>
      <c r="E14">
        <v>86</v>
      </c>
      <c r="F14">
        <v>1095</v>
      </c>
      <c r="G14">
        <v>356</v>
      </c>
      <c r="H14">
        <v>370</v>
      </c>
      <c r="I14">
        <v>404</v>
      </c>
      <c r="J14">
        <v>371</v>
      </c>
      <c r="K14">
        <v>307</v>
      </c>
      <c r="L14">
        <v>127</v>
      </c>
      <c r="M14">
        <v>47</v>
      </c>
      <c r="N14">
        <v>4</v>
      </c>
      <c r="O14">
        <v>1</v>
      </c>
      <c r="P14">
        <f>E14+F14+G14+H14+I14+J14+K14+L14+M14+N14+O14</f>
        <v>3168</v>
      </c>
      <c r="Q14">
        <f>200*F14+600*G14+1000*H14+1400*I14+1800*J14+2200*K14+2600*L14+3000*M14+3400*N14+3800*O14</f>
        <v>3200000</v>
      </c>
    </row>
    <row r="15" spans="1:17" x14ac:dyDescent="0.55000000000000004">
      <c r="A15" t="s">
        <v>24</v>
      </c>
      <c r="B15" s="1" t="s">
        <v>25</v>
      </c>
      <c r="C15" s="7" t="s">
        <v>9</v>
      </c>
      <c r="D15">
        <v>2848</v>
      </c>
      <c r="E15">
        <v>68</v>
      </c>
      <c r="F15">
        <v>311</v>
      </c>
      <c r="G15">
        <v>97</v>
      </c>
      <c r="H15">
        <v>112</v>
      </c>
      <c r="I15">
        <v>122</v>
      </c>
      <c r="J15">
        <v>155</v>
      </c>
      <c r="K15">
        <v>196</v>
      </c>
      <c r="L15">
        <v>150</v>
      </c>
      <c r="M15">
        <v>88</v>
      </c>
      <c r="N15">
        <v>6</v>
      </c>
      <c r="P15">
        <f>E15+F15+G15+H15+I15+J15+K15+L15+M15+N15+O15</f>
        <v>1305</v>
      </c>
      <c r="Q15">
        <f>200*F15+600*G15+1000*H15+1400*I15+1800*J15+2200*K15+2600*L15+3000*M15+3400*N15+3800*O15</f>
        <v>1787800</v>
      </c>
    </row>
    <row r="16" spans="1:17" x14ac:dyDescent="0.55000000000000004">
      <c r="A16" t="s">
        <v>17</v>
      </c>
      <c r="B16" t="s">
        <v>18</v>
      </c>
      <c r="C16" s="7" t="s">
        <v>9</v>
      </c>
      <c r="D16">
        <v>3005</v>
      </c>
      <c r="E16">
        <v>96</v>
      </c>
      <c r="F16">
        <v>685</v>
      </c>
      <c r="G16">
        <v>237</v>
      </c>
      <c r="H16">
        <v>261</v>
      </c>
      <c r="I16">
        <v>295</v>
      </c>
      <c r="J16">
        <v>288</v>
      </c>
      <c r="K16">
        <v>275</v>
      </c>
      <c r="L16">
        <v>200</v>
      </c>
      <c r="M16">
        <v>115</v>
      </c>
      <c r="N16">
        <v>36</v>
      </c>
      <c r="O16">
        <v>3</v>
      </c>
      <c r="P16">
        <f>E16+F16+G16+H16+I16+J16+K16+L16+M16+N16+O16</f>
        <v>2491</v>
      </c>
      <c r="Q16">
        <f>200*F16+600*G16+1000*H16+1400*I16+1800*J16+2200*K16+2600*L16+3000*M16+3400*N16+3800*O16</f>
        <v>3075400</v>
      </c>
    </row>
  </sheetData>
  <sortState xmlns:xlrd2="http://schemas.microsoft.com/office/spreadsheetml/2017/richdata2" ref="A2:Q16">
    <sortCondition ref="D2:D16"/>
  </sortState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颯 安齋</dc:creator>
  <cp:lastModifiedBy>颯 安齋</cp:lastModifiedBy>
  <dcterms:created xsi:type="dcterms:W3CDTF">2025-12-15T21:39:58Z</dcterms:created>
  <dcterms:modified xsi:type="dcterms:W3CDTF">2025-12-16T20:37:28Z</dcterms:modified>
</cp:coreProperties>
</file>