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4d527c66548e09/ドキュメント/AtCoder/"/>
    </mc:Choice>
  </mc:AlternateContent>
  <xr:revisionPtr revIDLastSave="2" documentId="8_{A61CCDEE-F8C0-4234-8EE0-AFB89B056AA4}" xr6:coauthVersionLast="47" xr6:coauthVersionMax="47" xr10:uidLastSave="{584B1EC7-2C34-45D2-936E-17812447B119}"/>
  <bookViews>
    <workbookView xWindow="-110" yWindow="-110" windowWidth="19420" windowHeight="11500" xr2:uid="{DE497FC6-7370-4496-B83B-662A4CB29F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1" i="1" l="1"/>
  <c r="Q11" i="1"/>
  <c r="S11" i="1" s="1"/>
  <c r="R9" i="1"/>
  <c r="Q9" i="1"/>
  <c r="S9" i="1" s="1"/>
  <c r="Q3" i="1"/>
  <c r="S3" i="1" s="1"/>
  <c r="Q4" i="1"/>
  <c r="S4" i="1" s="1"/>
  <c r="Q5" i="1"/>
  <c r="S5" i="1" s="1"/>
  <c r="Q6" i="1"/>
  <c r="S6" i="1" s="1"/>
  <c r="Q8" i="1"/>
  <c r="S8" i="1" s="1"/>
  <c r="Q7" i="1"/>
  <c r="S7" i="1" s="1"/>
  <c r="Q10" i="1"/>
  <c r="S10" i="1" s="1"/>
  <c r="Q12" i="1"/>
  <c r="S12" i="1" s="1"/>
  <c r="Q13" i="1"/>
  <c r="S13" i="1" s="1"/>
  <c r="Q14" i="1"/>
  <c r="S14" i="1" s="1"/>
  <c r="Q15" i="1"/>
  <c r="S15" i="1" s="1"/>
  <c r="Q2" i="1"/>
  <c r="S2" i="1" s="1"/>
  <c r="R3" i="1"/>
  <c r="R15" i="1"/>
  <c r="R13" i="1"/>
  <c r="R12" i="1"/>
  <c r="R10" i="1"/>
  <c r="R14" i="1"/>
  <c r="R7" i="1"/>
  <c r="R4" i="1"/>
  <c r="R5" i="1"/>
  <c r="R8" i="1"/>
  <c r="R6" i="1"/>
  <c r="R2" i="1"/>
</calcChain>
</file>

<file path=xl/sharedStrings.xml><?xml version="1.0" encoding="utf-8"?>
<sst xmlns="http://schemas.openxmlformats.org/spreadsheetml/2006/main" count="274" uniqueCount="51">
  <si>
    <t>kaijoh</t>
    <phoneticPr fontId="2"/>
  </si>
  <si>
    <t>player</t>
    <phoneticPr fontId="2"/>
  </si>
  <si>
    <t>灰</t>
    <rPh sb="0" eb="1">
      <t>ハイ</t>
    </rPh>
    <phoneticPr fontId="2"/>
  </si>
  <si>
    <t>茶</t>
    <rPh sb="0" eb="1">
      <t>チャ</t>
    </rPh>
    <phoneticPr fontId="2"/>
  </si>
  <si>
    <t>緑</t>
    <rPh sb="0" eb="1">
      <t>ミドリ</t>
    </rPh>
    <phoneticPr fontId="2"/>
  </si>
  <si>
    <t>水</t>
    <rPh sb="0" eb="1">
      <t>ミズ</t>
    </rPh>
    <phoneticPr fontId="2"/>
  </si>
  <si>
    <t>青</t>
    <rPh sb="0" eb="1">
      <t>アオ</t>
    </rPh>
    <phoneticPr fontId="2"/>
  </si>
  <si>
    <t>黄</t>
    <rPh sb="0" eb="1">
      <t>キ</t>
    </rPh>
    <phoneticPr fontId="2"/>
  </si>
  <si>
    <t>橙</t>
    <rPh sb="0" eb="1">
      <t>ダイダイ</t>
    </rPh>
    <phoneticPr fontId="2"/>
  </si>
  <si>
    <t>赤</t>
    <rPh sb="0" eb="1">
      <t>アカ</t>
    </rPh>
    <phoneticPr fontId="2"/>
  </si>
  <si>
    <t>銅</t>
    <rPh sb="0" eb="1">
      <t>ドウ</t>
    </rPh>
    <phoneticPr fontId="2"/>
  </si>
  <si>
    <t>銀</t>
    <rPh sb="0" eb="1">
      <t>ギン</t>
    </rPh>
    <phoneticPr fontId="2"/>
  </si>
  <si>
    <t>univ.</t>
    <phoneticPr fontId="2"/>
  </si>
  <si>
    <t>埼玉</t>
    <rPh sb="0" eb="2">
      <t>サイタマ</t>
    </rPh>
    <phoneticPr fontId="2"/>
  </si>
  <si>
    <t>Total_P</t>
    <phoneticPr fontId="2"/>
  </si>
  <si>
    <t>東京藝術</t>
    <rPh sb="0" eb="2">
      <t>トウキョウ</t>
    </rPh>
    <rPh sb="2" eb="4">
      <t>ゲイジュツ</t>
    </rPh>
    <phoneticPr fontId="2"/>
  </si>
  <si>
    <t>O24</t>
    <phoneticPr fontId="2"/>
  </si>
  <si>
    <t>慶應</t>
    <rPh sb="0" eb="2">
      <t>ケイオウ</t>
    </rPh>
    <phoneticPr fontId="2"/>
  </si>
  <si>
    <t>PCTprobability</t>
    <phoneticPr fontId="2"/>
  </si>
  <si>
    <t>東京科学</t>
    <rPh sb="0" eb="2">
      <t>トウキョウ</t>
    </rPh>
    <rPh sb="2" eb="4">
      <t>カガク</t>
    </rPh>
    <phoneticPr fontId="2"/>
  </si>
  <si>
    <t>a01sa01to</t>
    <phoneticPr fontId="2"/>
  </si>
  <si>
    <t>会津</t>
    <rPh sb="0" eb="2">
      <t>アイヅ</t>
    </rPh>
    <phoneticPr fontId="2"/>
  </si>
  <si>
    <t>achapi</t>
    <phoneticPr fontId="2"/>
  </si>
  <si>
    <t>MIT</t>
    <phoneticPr fontId="2"/>
  </si>
  <si>
    <t>blackyuki</t>
    <phoneticPr fontId="2"/>
  </si>
  <si>
    <t>gengar_094</t>
    <phoneticPr fontId="2"/>
  </si>
  <si>
    <t>筑波</t>
    <rPh sb="0" eb="2">
      <t>ツクバ</t>
    </rPh>
    <phoneticPr fontId="2"/>
  </si>
  <si>
    <t>monsoon7</t>
    <phoneticPr fontId="2"/>
  </si>
  <si>
    <t>電気通信</t>
    <rPh sb="0" eb="4">
      <t>デンキツウシン</t>
    </rPh>
    <phoneticPr fontId="2"/>
  </si>
  <si>
    <t>rmp</t>
    <phoneticPr fontId="2"/>
  </si>
  <si>
    <t>九州</t>
    <rPh sb="0" eb="2">
      <t>キュウシュウ</t>
    </rPh>
    <phoneticPr fontId="2"/>
  </si>
  <si>
    <t>shikase</t>
    <phoneticPr fontId="2"/>
  </si>
  <si>
    <t>東北</t>
    <rPh sb="0" eb="2">
      <t>トウホク</t>
    </rPh>
    <phoneticPr fontId="2"/>
  </si>
  <si>
    <t>zerozero_00</t>
    <phoneticPr fontId="2"/>
  </si>
  <si>
    <t>color</t>
    <phoneticPr fontId="2"/>
  </si>
  <si>
    <t>now_rating</t>
    <phoneticPr fontId="2"/>
  </si>
  <si>
    <t>回数</t>
    <rPh sb="0" eb="2">
      <t>カイスウ</t>
    </rPh>
    <phoneticPr fontId="2"/>
  </si>
  <si>
    <t>合計問題数</t>
    <rPh sb="0" eb="2">
      <t>ゴウケイ</t>
    </rPh>
    <rPh sb="2" eb="5">
      <t>モンダイスウ</t>
    </rPh>
    <phoneticPr fontId="2"/>
  </si>
  <si>
    <t>京都</t>
    <rPh sb="0" eb="2">
      <t>キョウト</t>
    </rPh>
    <phoneticPr fontId="2"/>
  </si>
  <si>
    <t>haruharufff</t>
    <phoneticPr fontId="2"/>
  </si>
  <si>
    <t>Rice_tawara459</t>
    <phoneticPr fontId="2"/>
  </si>
  <si>
    <t>東京</t>
    <rPh sb="0" eb="2">
      <t>トウキョウ</t>
    </rPh>
    <phoneticPr fontId="2"/>
  </si>
  <si>
    <t>SigmaArf</t>
    <phoneticPr fontId="2"/>
  </si>
  <si>
    <t>初Rated</t>
    <rPh sb="0" eb="1">
      <t>ハツ</t>
    </rPh>
    <phoneticPr fontId="2"/>
  </si>
  <si>
    <t>精進率</t>
    <rPh sb="0" eb="2">
      <t>ショウジン</t>
    </rPh>
    <rPh sb="2" eb="3">
      <t>リツ</t>
    </rPh>
    <phoneticPr fontId="2"/>
  </si>
  <si>
    <t>TOP_PLAYER</t>
    <phoneticPr fontId="2"/>
  </si>
  <si>
    <t>achapi,a01sa01to</t>
    <phoneticPr fontId="2"/>
  </si>
  <si>
    <t>Kaijoh</t>
    <phoneticPr fontId="2"/>
  </si>
  <si>
    <t>回数ランキング</t>
    <rPh sb="0" eb="2">
      <t>カイスウ</t>
    </rPh>
    <phoneticPr fontId="2"/>
  </si>
  <si>
    <t>黃</t>
    <rPh sb="0" eb="1">
      <t>キ</t>
    </rPh>
    <phoneticPr fontId="2"/>
  </si>
  <si>
    <t>合計問題数</t>
    <rPh sb="0" eb="5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</si>
</sst>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6"/>
      <name val="游ゴシック"/>
      <family val="3"/>
      <charset val="128"/>
      <scheme val="minor"/>
    </font>
    <font>
      <b/>
      <sz val="11"/>
      <color theme="5" tint="-0.499984740745262"/>
      <name val="游ゴシック"/>
      <family val="3"/>
      <charset val="128"/>
      <scheme val="minor"/>
    </font>
    <font>
      <b/>
      <sz val="11"/>
      <color rgb="FF00B0F0"/>
      <name val="游ゴシック"/>
      <family val="3"/>
      <charset val="128"/>
      <scheme val="minor"/>
    </font>
    <font>
      <b/>
      <sz val="11"/>
      <color rgb="FF002060"/>
      <name val="游ゴシック"/>
      <family val="3"/>
      <charset val="128"/>
      <scheme val="minor"/>
    </font>
    <font>
      <b/>
      <sz val="11"/>
      <color rgb="FFFFC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1" fillId="0" borderId="1" xfId="1" applyFont="1" applyBorder="1">
      <alignment vertical="center"/>
    </xf>
    <xf numFmtId="0" fontId="5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1" fillId="0" borderId="1" xfId="1" applyFont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0" fillId="0" borderId="2" xfId="0" applyBorder="1">
      <alignment vertical="center"/>
    </xf>
    <xf numFmtId="0" fontId="8" fillId="0" borderId="2" xfId="0" applyFont="1" applyBorder="1">
      <alignment vertical="center"/>
    </xf>
    <xf numFmtId="0" fontId="1" fillId="0" borderId="0" xfId="1" applyFont="1" applyBorder="1">
      <alignment vertical="center"/>
    </xf>
    <xf numFmtId="0" fontId="11" fillId="0" borderId="0" xfId="1" applyFont="1" applyBorder="1">
      <alignment vertical="center"/>
    </xf>
    <xf numFmtId="0" fontId="0" fillId="0" borderId="0" xfId="0" applyBorder="1">
      <alignment vertical="center"/>
    </xf>
    <xf numFmtId="0" fontId="5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7" fillId="0" borderId="0" xfId="0" applyFont="1" applyBorder="1">
      <alignment vertical="center"/>
    </xf>
    <xf numFmtId="0" fontId="9" fillId="0" borderId="0" xfId="0" applyFont="1" applyBorder="1">
      <alignment vertical="center"/>
    </xf>
    <xf numFmtId="0" fontId="10" fillId="0" borderId="0" xfId="0" applyFont="1" applyBorder="1" applyAlignment="1">
      <alignment vertical="top" wrapText="1"/>
    </xf>
    <xf numFmtId="0" fontId="11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2D70-BF0B-4BC7-9110-224533000093}">
  <dimension ref="A1:S32"/>
  <sheetViews>
    <sheetView tabSelected="1" zoomScale="68" zoomScaleNormal="68" workbookViewId="0">
      <selection activeCell="O4" sqref="O4"/>
    </sheetView>
  </sheetViews>
  <sheetFormatPr defaultRowHeight="18" x14ac:dyDescent="0.55000000000000004"/>
  <cols>
    <col min="2" max="2" width="14.08203125" customWidth="1"/>
    <col min="3" max="3" width="14.4140625" customWidth="1"/>
    <col min="4" max="4" width="13.6640625" customWidth="1"/>
    <col min="5" max="5" width="14.25" customWidth="1"/>
    <col min="6" max="6" width="14.08203125" customWidth="1"/>
    <col min="7" max="7" width="15.33203125" customWidth="1"/>
    <col min="8" max="8" width="14.1640625" customWidth="1"/>
    <col min="9" max="9" width="13.9140625" customWidth="1"/>
    <col min="10" max="10" width="14.6640625" customWidth="1"/>
    <col min="11" max="11" width="14.5" customWidth="1"/>
    <col min="12" max="12" width="14.6640625" customWidth="1"/>
    <col min="13" max="13" width="14.33203125" customWidth="1"/>
    <col min="14" max="14" width="13.6640625" customWidth="1"/>
    <col min="15" max="15" width="14.4140625" customWidth="1"/>
    <col min="16" max="16" width="14.9140625" customWidth="1"/>
    <col min="17" max="17" width="10.33203125" customWidth="1"/>
    <col min="18" max="18" width="15.83203125" customWidth="1"/>
  </cols>
  <sheetData>
    <row r="1" spans="1:19" x14ac:dyDescent="0.55000000000000004">
      <c r="A1" t="s">
        <v>12</v>
      </c>
      <c r="B1" t="s">
        <v>1</v>
      </c>
      <c r="C1" t="s">
        <v>34</v>
      </c>
      <c r="D1" t="s">
        <v>43</v>
      </c>
      <c r="E1" t="s">
        <v>35</v>
      </c>
      <c r="F1" t="s">
        <v>36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37</v>
      </c>
      <c r="R1" t="s">
        <v>14</v>
      </c>
      <c r="S1" t="s">
        <v>44</v>
      </c>
    </row>
    <row r="2" spans="1:19" ht="18.5" thickBot="1" x14ac:dyDescent="0.6">
      <c r="A2" s="1" t="s">
        <v>13</v>
      </c>
      <c r="B2" s="1" t="s">
        <v>0</v>
      </c>
      <c r="C2" s="2" t="s">
        <v>2</v>
      </c>
      <c r="D2" s="1">
        <v>20251025</v>
      </c>
      <c r="E2" s="1">
        <v>55</v>
      </c>
      <c r="F2" s="1">
        <v>4</v>
      </c>
      <c r="G2" s="1">
        <v>431</v>
      </c>
      <c r="H2" s="1">
        <v>10</v>
      </c>
      <c r="I2" s="1">
        <v>1</v>
      </c>
      <c r="J2" s="1"/>
      <c r="K2" s="1"/>
      <c r="L2" s="1"/>
      <c r="M2" s="1"/>
      <c r="N2" s="1"/>
      <c r="O2" s="1"/>
      <c r="P2" s="1"/>
      <c r="Q2" s="1">
        <f>F2+G2+H2+I2+J2+K2+L2+M2+N2+O2+P2</f>
        <v>446</v>
      </c>
      <c r="R2" s="1">
        <f>200*G2+600*H2+1000*I2+1400*J2+1800*K2+2200*L2+2600*M2+3000*N2+3400*O2+3800*P2</f>
        <v>93200</v>
      </c>
      <c r="S2" s="1">
        <f ca="1">Q2 / MAX(1, TODAY() - DATE(LEFT(D2,4), MID(D2,5,2), RIGHT(D2,2)))</f>
        <v>7.193548387096774</v>
      </c>
    </row>
    <row r="3" spans="1:19" x14ac:dyDescent="0.55000000000000004">
      <c r="A3" s="13" t="s">
        <v>15</v>
      </c>
      <c r="B3" s="13" t="s">
        <v>16</v>
      </c>
      <c r="C3" s="14" t="s">
        <v>3</v>
      </c>
      <c r="D3" s="13">
        <v>20220409</v>
      </c>
      <c r="E3" s="13">
        <v>643</v>
      </c>
      <c r="F3" s="13">
        <v>13</v>
      </c>
      <c r="G3" s="13">
        <v>59</v>
      </c>
      <c r="H3" s="13">
        <v>14</v>
      </c>
      <c r="I3" s="13">
        <v>7</v>
      </c>
      <c r="J3" s="13">
        <v>1</v>
      </c>
      <c r="K3" s="13"/>
      <c r="L3" s="13"/>
      <c r="M3" s="13"/>
      <c r="N3" s="13"/>
      <c r="O3" s="13"/>
      <c r="P3" s="13"/>
      <c r="Q3" s="13">
        <f>F3+G3+H3+I3+J3+K3+L3+M3+N3+O3+P3</f>
        <v>94</v>
      </c>
      <c r="R3" s="13">
        <f>200*G3+600*H3+1000*I3+1400*J3+1800*K3+2200*L3+2600*M3+3000*N3+3400*O3+3800*P3</f>
        <v>28600</v>
      </c>
      <c r="S3" s="13">
        <f ca="1">Q3 / MAX(1, TODAY() - DATE(LEFT(D3,4), MID(D3,5,2), RIGHT(D3,2)))</f>
        <v>6.9270449521002211E-2</v>
      </c>
    </row>
    <row r="4" spans="1:19" x14ac:dyDescent="0.55000000000000004">
      <c r="A4" s="13" t="s">
        <v>28</v>
      </c>
      <c r="B4" s="11" t="s">
        <v>27</v>
      </c>
      <c r="C4" s="14" t="s">
        <v>3</v>
      </c>
      <c r="D4" s="13">
        <v>20240309</v>
      </c>
      <c r="E4" s="13">
        <v>674</v>
      </c>
      <c r="F4" s="13">
        <v>29</v>
      </c>
      <c r="G4" s="13">
        <v>136</v>
      </c>
      <c r="H4" s="13">
        <v>7</v>
      </c>
      <c r="I4" s="13">
        <v>4</v>
      </c>
      <c r="J4" s="13">
        <v>1</v>
      </c>
      <c r="K4" s="13"/>
      <c r="L4" s="13"/>
      <c r="M4" s="13"/>
      <c r="N4" s="13"/>
      <c r="O4" s="13"/>
      <c r="P4" s="13"/>
      <c r="Q4" s="13">
        <f>F4+G4+H4+I4+J4+K4+L4+M4+N4+O4+P4</f>
        <v>177</v>
      </c>
      <c r="R4" s="13">
        <f>200*G4+600*H4+1000*I4+1400*J4+1800*K4+2200*L4+2600*M4+3000*N4+3400*O4+3800*P4</f>
        <v>36800</v>
      </c>
      <c r="S4" s="13">
        <f ca="1">Q4 / MAX(1, TODAY() - DATE(LEFT(D4,4), MID(D4,5,2), RIGHT(D4,2)))</f>
        <v>0.26940639269406391</v>
      </c>
    </row>
    <row r="5" spans="1:19" x14ac:dyDescent="0.55000000000000004">
      <c r="A5" s="13" t="s">
        <v>30</v>
      </c>
      <c r="B5" s="11" t="s">
        <v>29</v>
      </c>
      <c r="C5" s="14" t="s">
        <v>3</v>
      </c>
      <c r="D5" s="13">
        <v>20250419</v>
      </c>
      <c r="E5" s="13">
        <v>683</v>
      </c>
      <c r="F5" s="13">
        <v>34</v>
      </c>
      <c r="G5" s="13">
        <v>116</v>
      </c>
      <c r="H5" s="13">
        <v>11</v>
      </c>
      <c r="I5" s="13">
        <v>8</v>
      </c>
      <c r="J5" s="13">
        <v>2</v>
      </c>
      <c r="K5" s="13">
        <v>1</v>
      </c>
      <c r="L5" s="13"/>
      <c r="M5" s="13"/>
      <c r="N5" s="13"/>
      <c r="O5" s="13"/>
      <c r="P5" s="13"/>
      <c r="Q5" s="13">
        <f>F5+G5+H5+I5+J5+K5+L5+M5+N5+O5+P5</f>
        <v>172</v>
      </c>
      <c r="R5" s="13">
        <f>200*G5+600*H5+1000*I5+1400*J5+1800*K5+2200*L5+2600*M5+3000*N5+3400*O5+3800*P5</f>
        <v>42400</v>
      </c>
      <c r="S5" s="13">
        <f ca="1">Q5 / MAX(1, TODAY() - DATE(LEFT(D5,4), MID(D5,5,2), RIGHT(D5,2)))</f>
        <v>0.68525896414342624</v>
      </c>
    </row>
    <row r="6" spans="1:19" ht="18.5" thickBot="1" x14ac:dyDescent="0.6">
      <c r="A6" s="1" t="s">
        <v>13</v>
      </c>
      <c r="B6" s="3" t="s">
        <v>33</v>
      </c>
      <c r="C6" s="4" t="s">
        <v>3</v>
      </c>
      <c r="D6" s="1">
        <v>20240511</v>
      </c>
      <c r="E6" s="1">
        <v>741</v>
      </c>
      <c r="F6" s="1">
        <v>53</v>
      </c>
      <c r="G6" s="1">
        <v>434</v>
      </c>
      <c r="H6" s="1">
        <v>168</v>
      </c>
      <c r="I6" s="1">
        <v>26</v>
      </c>
      <c r="J6" s="1"/>
      <c r="K6" s="1"/>
      <c r="L6" s="1"/>
      <c r="M6" s="1"/>
      <c r="N6" s="1"/>
      <c r="O6" s="1"/>
      <c r="P6" s="1"/>
      <c r="Q6" s="1">
        <f>F6+G6+H6+I6+J6+K6+L6+M6+N6+O6+P6</f>
        <v>681</v>
      </c>
      <c r="R6" s="1">
        <f>200*G6+600*H6+1000*I6+1400*J6+1800*K6+2200*L6+2600*M6+3000*N6+3400*O6+3800*P6</f>
        <v>213600</v>
      </c>
      <c r="S6" s="1">
        <f ca="1">Q6 / MAX(1, TODAY() - DATE(LEFT(D6,4), MID(D6,5,2), RIGHT(D6,2)))</f>
        <v>1.1464646464646464</v>
      </c>
    </row>
    <row r="7" spans="1:19" x14ac:dyDescent="0.55000000000000004">
      <c r="A7" s="13" t="s">
        <v>26</v>
      </c>
      <c r="B7" s="11" t="s">
        <v>25</v>
      </c>
      <c r="C7" s="15" t="s">
        <v>5</v>
      </c>
      <c r="D7" s="13">
        <v>20200725</v>
      </c>
      <c r="E7" s="13">
        <v>1322</v>
      </c>
      <c r="F7" s="13">
        <v>221</v>
      </c>
      <c r="G7" s="13">
        <v>1140</v>
      </c>
      <c r="H7" s="13">
        <v>321</v>
      </c>
      <c r="I7" s="13">
        <v>251</v>
      </c>
      <c r="J7" s="13">
        <v>133</v>
      </c>
      <c r="K7" s="13">
        <v>31</v>
      </c>
      <c r="L7" s="13">
        <v>7</v>
      </c>
      <c r="M7" s="13">
        <v>1</v>
      </c>
      <c r="N7" s="13"/>
      <c r="O7" s="13"/>
      <c r="P7" s="13"/>
      <c r="Q7" s="13">
        <f>F7+G7+H7+I7+J7+K7+L7+M7+N7+O7+P7</f>
        <v>2105</v>
      </c>
      <c r="R7" s="13">
        <f>200*G7+600*H7+1000*I7+1400*J7+1800*K7+2200*L7+2600*M7+3000*N7+3400*O7+3800*P7</f>
        <v>931600</v>
      </c>
      <c r="S7" s="13">
        <f ca="1">Q7 / MAX(1, TODAY() - DATE(LEFT(D7,4), MID(D7,5,2), RIGHT(D7,2)))</f>
        <v>1.0631313131313131</v>
      </c>
    </row>
    <row r="8" spans="1:19" x14ac:dyDescent="0.55000000000000004">
      <c r="A8" s="13" t="s">
        <v>32</v>
      </c>
      <c r="B8" s="11" t="s">
        <v>31</v>
      </c>
      <c r="C8" s="15" t="s">
        <v>5</v>
      </c>
      <c r="D8" s="13">
        <v>20220821</v>
      </c>
      <c r="E8" s="13">
        <v>1350</v>
      </c>
      <c r="F8" s="13">
        <v>37</v>
      </c>
      <c r="G8" s="13">
        <v>214</v>
      </c>
      <c r="H8" s="13">
        <v>135</v>
      </c>
      <c r="I8" s="13">
        <v>191</v>
      </c>
      <c r="J8" s="13">
        <v>215</v>
      </c>
      <c r="K8" s="13">
        <v>64</v>
      </c>
      <c r="L8" s="13"/>
      <c r="M8" s="13"/>
      <c r="N8" s="13"/>
      <c r="O8" s="13"/>
      <c r="P8" s="13"/>
      <c r="Q8" s="13">
        <f>F8+G8+H8+I8+J8+K8+L8+M8+N8+O8+P8</f>
        <v>856</v>
      </c>
      <c r="R8" s="13">
        <f>200*G8+600*H8+1000*I8+1400*J8+1800*K8+2200*L8+2600*M8+3000*N8+3400*O8+3800*P8</f>
        <v>731000</v>
      </c>
      <c r="S8" s="13">
        <f ca="1">Q8 / MAX(1, TODAY() - DATE(LEFT(D8,4), MID(D8,5,2), RIGHT(D8,2)))</f>
        <v>0.69991823385118557</v>
      </c>
    </row>
    <row r="9" spans="1:19" x14ac:dyDescent="0.55000000000000004">
      <c r="A9" s="13" t="s">
        <v>38</v>
      </c>
      <c r="B9" s="13" t="s">
        <v>39</v>
      </c>
      <c r="C9" s="15" t="s">
        <v>5</v>
      </c>
      <c r="D9" s="13">
        <v>20230304</v>
      </c>
      <c r="E9" s="13">
        <v>1458</v>
      </c>
      <c r="F9" s="13">
        <v>116</v>
      </c>
      <c r="G9" s="13">
        <v>398</v>
      </c>
      <c r="H9" s="13">
        <v>93</v>
      </c>
      <c r="I9" s="13">
        <v>116</v>
      </c>
      <c r="J9" s="13">
        <v>105</v>
      </c>
      <c r="K9" s="13">
        <v>40</v>
      </c>
      <c r="L9" s="13">
        <v>1</v>
      </c>
      <c r="M9" s="13"/>
      <c r="N9" s="13"/>
      <c r="O9" s="13"/>
      <c r="P9" s="13"/>
      <c r="Q9" s="13">
        <f>F9+G9+H9+I9+J9+K9+L9+M9+N9+O9+P9</f>
        <v>869</v>
      </c>
      <c r="R9" s="13">
        <f>200*G9+600*H9+1000*I9+1400*J9+1800*K9+2200*L9+2600*M9+3000*N9+3400*O9+3800*P9</f>
        <v>472600</v>
      </c>
      <c r="S9" s="13">
        <f ca="1">Q9 / MAX(1, TODAY() - DATE(LEFT(D9,4), MID(D9,5,2), RIGHT(D9,2)))</f>
        <v>0.84533073929961089</v>
      </c>
    </row>
    <row r="10" spans="1:19" ht="18.5" thickBot="1" x14ac:dyDescent="0.6">
      <c r="A10" s="5" t="s">
        <v>21</v>
      </c>
      <c r="B10" s="6" t="s">
        <v>22</v>
      </c>
      <c r="C10" s="7" t="s">
        <v>5</v>
      </c>
      <c r="D10" s="5">
        <v>20211107</v>
      </c>
      <c r="E10" s="5">
        <v>1556</v>
      </c>
      <c r="F10" s="5">
        <v>255</v>
      </c>
      <c r="G10" s="5">
        <v>1204</v>
      </c>
      <c r="H10" s="5">
        <v>402</v>
      </c>
      <c r="I10" s="5">
        <v>395</v>
      </c>
      <c r="J10" s="5">
        <v>332</v>
      </c>
      <c r="K10" s="5">
        <v>122</v>
      </c>
      <c r="L10" s="5">
        <v>13</v>
      </c>
      <c r="M10" s="5">
        <v>2</v>
      </c>
      <c r="N10" s="5"/>
      <c r="O10" s="5">
        <v>1</v>
      </c>
      <c r="P10" s="5"/>
      <c r="Q10" s="5">
        <f>F10+G10+H10+I10+J10+K10+L10+M10+N10+O10+P10</f>
        <v>2726</v>
      </c>
      <c r="R10" s="5">
        <f>200*G10+600*H10+1000*I10+1400*J10+1800*K10+2200*L10+2600*M10+3000*N10+3400*O10+3800*P10</f>
        <v>1598600</v>
      </c>
      <c r="S10" s="1">
        <f ca="1">Q10 / MAX(1, TODAY() - DATE(LEFT(D10,4), MID(D10,5,2), RIGHT(D10,2)))</f>
        <v>1.8052980132450331</v>
      </c>
    </row>
    <row r="11" spans="1:19" x14ac:dyDescent="0.55000000000000004">
      <c r="A11" s="13" t="s">
        <v>41</v>
      </c>
      <c r="B11" s="13" t="s">
        <v>42</v>
      </c>
      <c r="C11" s="16" t="s">
        <v>6</v>
      </c>
      <c r="D11" s="13">
        <v>20220312</v>
      </c>
      <c r="E11" s="13">
        <v>1685</v>
      </c>
      <c r="F11" s="13">
        <v>154</v>
      </c>
      <c r="G11" s="18">
        <v>343</v>
      </c>
      <c r="H11" s="18">
        <v>79</v>
      </c>
      <c r="I11" s="18">
        <v>61</v>
      </c>
      <c r="J11" s="18">
        <v>42</v>
      </c>
      <c r="K11" s="18">
        <v>20</v>
      </c>
      <c r="L11" s="18">
        <v>5</v>
      </c>
      <c r="M11" s="18">
        <v>3</v>
      </c>
      <c r="N11" s="18">
        <v>2</v>
      </c>
      <c r="O11" s="18">
        <v>1</v>
      </c>
      <c r="P11" s="13"/>
      <c r="Q11" s="13">
        <f>F11+G11+H11+I11+J11+K11+L11+M11+N11+O11+P11</f>
        <v>710</v>
      </c>
      <c r="R11" s="13">
        <f>200*G11+600*H11+1000*I11+1400*J11+1800*K11+2200*L11+2600*M11+3000*N11+3400*O11+3800*P11</f>
        <v>300000</v>
      </c>
      <c r="S11" s="13">
        <f ca="1">Q11 / MAX(1, TODAY() - DATE(LEFT(D11,4), MID(D11,5,2), RIGHT(D11,2)))</f>
        <v>0.5126353790613718</v>
      </c>
    </row>
    <row r="12" spans="1:19" ht="18.5" thickBot="1" x14ac:dyDescent="0.6">
      <c r="A12" s="1" t="s">
        <v>13</v>
      </c>
      <c r="B12" s="3" t="s">
        <v>20</v>
      </c>
      <c r="C12" s="8" t="s">
        <v>6</v>
      </c>
      <c r="D12" s="1">
        <v>20210130</v>
      </c>
      <c r="E12" s="1">
        <v>1748</v>
      </c>
      <c r="F12" s="1">
        <v>128</v>
      </c>
      <c r="G12" s="1">
        <v>1204</v>
      </c>
      <c r="H12" s="1">
        <v>406</v>
      </c>
      <c r="I12" s="1">
        <v>417</v>
      </c>
      <c r="J12" s="1">
        <v>379</v>
      </c>
      <c r="K12" s="1">
        <v>145</v>
      </c>
      <c r="L12" s="1">
        <v>17</v>
      </c>
      <c r="M12" s="1">
        <v>2</v>
      </c>
      <c r="N12" s="1"/>
      <c r="O12" s="1"/>
      <c r="P12" s="1"/>
      <c r="Q12" s="1">
        <f>F12+G12+H12+I12+J12+K12+L12+M12+N12+O12+P12</f>
        <v>2698</v>
      </c>
      <c r="R12" s="1">
        <f>200*G12+600*H12+1000*I12+1400*J12+1800*K12+2200*L12+2600*M12+3000*N12+3400*O12+3800*P12</f>
        <v>1735600</v>
      </c>
      <c r="S12" s="1">
        <f ca="1">Q12 / MAX(1, TODAY() - DATE(LEFT(D12,4), MID(D12,5,2), RIGHT(D12,2)))</f>
        <v>1.5064209938581798</v>
      </c>
    </row>
    <row r="13" spans="1:19" ht="18.5" thickBot="1" x14ac:dyDescent="0.6">
      <c r="A13" s="9" t="s">
        <v>19</v>
      </c>
      <c r="B13" s="9" t="s">
        <v>40</v>
      </c>
      <c r="C13" s="10" t="s">
        <v>8</v>
      </c>
      <c r="D13" s="9">
        <v>20221217</v>
      </c>
      <c r="E13" s="9">
        <v>2489</v>
      </c>
      <c r="F13" s="9">
        <v>86</v>
      </c>
      <c r="G13" s="9">
        <v>1095</v>
      </c>
      <c r="H13" s="9">
        <v>356</v>
      </c>
      <c r="I13" s="9">
        <v>370</v>
      </c>
      <c r="J13" s="9">
        <v>404</v>
      </c>
      <c r="K13" s="9">
        <v>371</v>
      </c>
      <c r="L13" s="9">
        <v>307</v>
      </c>
      <c r="M13" s="9">
        <v>127</v>
      </c>
      <c r="N13" s="9">
        <v>47</v>
      </c>
      <c r="O13" s="9">
        <v>4</v>
      </c>
      <c r="P13" s="9">
        <v>1</v>
      </c>
      <c r="Q13" s="9">
        <f>F13+G13+H13+I13+J13+K13+L13+M13+N13+O13+P13</f>
        <v>3168</v>
      </c>
      <c r="R13" s="9">
        <f>200*G13+600*H13+1000*I13+1400*J13+1800*K13+2200*L13+2600*M13+3000*N13+3400*O13+3800*P13</f>
        <v>3200000</v>
      </c>
      <c r="S13" s="1">
        <f ca="1">Q13 / MAX(1, TODAY() - DATE(LEFT(D13,4), MID(D13,5,2), RIGHT(D13,2)))</f>
        <v>2.8669683257918552</v>
      </c>
    </row>
    <row r="14" spans="1:19" x14ac:dyDescent="0.55000000000000004">
      <c r="A14" s="13" t="s">
        <v>23</v>
      </c>
      <c r="B14" s="11" t="s">
        <v>24</v>
      </c>
      <c r="C14" s="17" t="s">
        <v>9</v>
      </c>
      <c r="D14" s="13">
        <v>20190602</v>
      </c>
      <c r="E14" s="13">
        <v>2848</v>
      </c>
      <c r="F14" s="13">
        <v>68</v>
      </c>
      <c r="G14" s="13">
        <v>311</v>
      </c>
      <c r="H14" s="13">
        <v>97</v>
      </c>
      <c r="I14" s="13">
        <v>112</v>
      </c>
      <c r="J14" s="13">
        <v>122</v>
      </c>
      <c r="K14" s="13">
        <v>155</v>
      </c>
      <c r="L14" s="13">
        <v>196</v>
      </c>
      <c r="M14" s="13">
        <v>150</v>
      </c>
      <c r="N14" s="13">
        <v>88</v>
      </c>
      <c r="O14" s="13">
        <v>6</v>
      </c>
      <c r="P14" s="13"/>
      <c r="Q14" s="13">
        <f>F14+G14+H14+I14+J14+K14+L14+M14+N14+O14+P14</f>
        <v>1305</v>
      </c>
      <c r="R14" s="13">
        <f>200*G14+600*H14+1000*I14+1400*J14+1800*K14+2200*L14+2600*M14+3000*N14+3400*O14+3800*P14</f>
        <v>1787800</v>
      </c>
      <c r="S14" s="13">
        <f ca="1">Q14 / MAX(1, TODAY() - DATE(LEFT(D14,4), MID(D14,5,2), RIGHT(D14,2)))</f>
        <v>0.54397665694039188</v>
      </c>
    </row>
    <row r="15" spans="1:19" x14ac:dyDescent="0.55000000000000004">
      <c r="A15" s="13" t="s">
        <v>17</v>
      </c>
      <c r="B15" s="13" t="s">
        <v>18</v>
      </c>
      <c r="C15" s="17" t="s">
        <v>9</v>
      </c>
      <c r="D15" s="13">
        <v>20200822</v>
      </c>
      <c r="E15" s="13">
        <v>3005</v>
      </c>
      <c r="F15" s="13">
        <v>96</v>
      </c>
      <c r="G15" s="13">
        <v>685</v>
      </c>
      <c r="H15" s="13">
        <v>237</v>
      </c>
      <c r="I15" s="13">
        <v>261</v>
      </c>
      <c r="J15" s="13">
        <v>295</v>
      </c>
      <c r="K15" s="13">
        <v>288</v>
      </c>
      <c r="L15" s="13">
        <v>275</v>
      </c>
      <c r="M15" s="13">
        <v>200</v>
      </c>
      <c r="N15" s="13">
        <v>115</v>
      </c>
      <c r="O15" s="13">
        <v>36</v>
      </c>
      <c r="P15" s="13">
        <v>3</v>
      </c>
      <c r="Q15" s="13">
        <f>F15+G15+H15+I15+J15+K15+L15+M15+N15+O15+P15</f>
        <v>2491</v>
      </c>
      <c r="R15" s="13">
        <f>200*G15+600*H15+1000*I15+1400*J15+1800*K15+2200*L15+2600*M15+3000*N15+3400*O15+3800*P15</f>
        <v>3075400</v>
      </c>
      <c r="S15" s="13">
        <f ca="1">Q15 / MAX(1, TODAY() - DATE(LEFT(D15,4), MID(D15,5,2), RIGHT(D15,2)))</f>
        <v>1.2761270491803278</v>
      </c>
    </row>
    <row r="16" spans="1:19" x14ac:dyDescent="0.55000000000000004">
      <c r="A16" s="13"/>
      <c r="B16" s="13" t="s">
        <v>45</v>
      </c>
      <c r="C16" s="13" t="s">
        <v>18</v>
      </c>
      <c r="D16" s="11" t="s">
        <v>24</v>
      </c>
      <c r="E16" s="13" t="s">
        <v>18</v>
      </c>
      <c r="F16" s="12" t="s">
        <v>22</v>
      </c>
      <c r="G16" s="12" t="s">
        <v>46</v>
      </c>
      <c r="H16" s="11" t="s">
        <v>20</v>
      </c>
      <c r="I16" s="12" t="s">
        <v>22</v>
      </c>
      <c r="J16" s="13" t="s">
        <v>40</v>
      </c>
      <c r="K16" s="13" t="s">
        <v>40</v>
      </c>
      <c r="L16" s="13" t="s">
        <v>40</v>
      </c>
      <c r="M16" s="13" t="s">
        <v>18</v>
      </c>
      <c r="N16" s="13" t="s">
        <v>18</v>
      </c>
      <c r="O16" s="13" t="s">
        <v>18</v>
      </c>
      <c r="P16" s="13" t="s">
        <v>18</v>
      </c>
      <c r="Q16" s="11" t="s">
        <v>20</v>
      </c>
      <c r="R16" s="13" t="s">
        <v>40</v>
      </c>
      <c r="S16" s="13" t="s">
        <v>47</v>
      </c>
    </row>
    <row r="18" spans="2:14" x14ac:dyDescent="0.55000000000000004">
      <c r="B18" t="s">
        <v>48</v>
      </c>
      <c r="C18" s="19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49</v>
      </c>
      <c r="I18" t="s">
        <v>9</v>
      </c>
      <c r="J18" t="s">
        <v>10</v>
      </c>
      <c r="K18" t="s">
        <v>11</v>
      </c>
      <c r="L18" t="s">
        <v>50</v>
      </c>
      <c r="M18" t="s">
        <v>14</v>
      </c>
      <c r="N18" t="s">
        <v>44</v>
      </c>
    </row>
    <row r="19" spans="2:14" x14ac:dyDescent="0.55000000000000004">
      <c r="B19" s="12" t="s">
        <v>22</v>
      </c>
      <c r="C19" s="12" t="s">
        <v>22</v>
      </c>
      <c r="D19" s="11" t="s">
        <v>20</v>
      </c>
      <c r="E19" s="11" t="s">
        <v>20</v>
      </c>
      <c r="F19" s="13" t="s">
        <v>40</v>
      </c>
      <c r="G19" s="13" t="s">
        <v>40</v>
      </c>
      <c r="H19" s="13" t="s">
        <v>40</v>
      </c>
      <c r="I19" s="13" t="s">
        <v>18</v>
      </c>
      <c r="J19" s="13" t="s">
        <v>18</v>
      </c>
      <c r="K19" s="13" t="s">
        <v>18</v>
      </c>
      <c r="L19" s="13" t="s">
        <v>40</v>
      </c>
      <c r="M19" s="13" t="s">
        <v>40</v>
      </c>
      <c r="N19" s="13" t="s">
        <v>0</v>
      </c>
    </row>
    <row r="20" spans="2:14" x14ac:dyDescent="0.55000000000000004">
      <c r="B20" s="11" t="s">
        <v>25</v>
      </c>
      <c r="C20" s="11" t="s">
        <v>20</v>
      </c>
      <c r="D20" s="12" t="s">
        <v>22</v>
      </c>
      <c r="E20" s="12" t="s">
        <v>22</v>
      </c>
      <c r="F20" s="11" t="s">
        <v>20</v>
      </c>
      <c r="G20" s="13" t="s">
        <v>18</v>
      </c>
      <c r="H20" s="13" t="s">
        <v>18</v>
      </c>
      <c r="I20" s="11" t="s">
        <v>24</v>
      </c>
      <c r="J20" s="11" t="s">
        <v>24</v>
      </c>
      <c r="K20" s="13" t="s">
        <v>40</v>
      </c>
      <c r="L20" s="12" t="s">
        <v>22</v>
      </c>
      <c r="M20" s="13" t="s">
        <v>18</v>
      </c>
      <c r="N20" s="13" t="s">
        <v>40</v>
      </c>
    </row>
    <row r="21" spans="2:14" x14ac:dyDescent="0.55000000000000004">
      <c r="B21" s="13" t="s">
        <v>42</v>
      </c>
      <c r="C21" s="11" t="s">
        <v>25</v>
      </c>
      <c r="D21" s="13" t="s">
        <v>40</v>
      </c>
      <c r="E21" s="13" t="s">
        <v>40</v>
      </c>
      <c r="F21" s="12" t="s">
        <v>22</v>
      </c>
      <c r="G21" s="11" t="s">
        <v>24</v>
      </c>
      <c r="H21" s="11" t="s">
        <v>24</v>
      </c>
      <c r="I21" s="13" t="s">
        <v>40</v>
      </c>
      <c r="J21" s="13" t="s">
        <v>40</v>
      </c>
      <c r="K21" s="11" t="s">
        <v>24</v>
      </c>
      <c r="L21" s="11" t="s">
        <v>20</v>
      </c>
      <c r="M21" s="11" t="s">
        <v>24</v>
      </c>
      <c r="N21" s="12" t="s">
        <v>22</v>
      </c>
    </row>
    <row r="22" spans="2:14" x14ac:dyDescent="0.55000000000000004">
      <c r="B22" s="11" t="s">
        <v>20</v>
      </c>
      <c r="C22" s="13" t="s">
        <v>40</v>
      </c>
      <c r="D22" s="11" t="s">
        <v>25</v>
      </c>
      <c r="E22" s="13" t="s">
        <v>18</v>
      </c>
      <c r="F22" s="13" t="s">
        <v>18</v>
      </c>
      <c r="G22" s="11" t="s">
        <v>20</v>
      </c>
      <c r="H22" s="11" t="s">
        <v>20</v>
      </c>
      <c r="I22" s="13" t="s">
        <v>42</v>
      </c>
      <c r="J22" s="13" t="s">
        <v>42</v>
      </c>
      <c r="K22" s="13" t="s">
        <v>42</v>
      </c>
      <c r="L22" s="13" t="s">
        <v>18</v>
      </c>
      <c r="M22" s="11" t="s">
        <v>20</v>
      </c>
      <c r="N22" s="11" t="s">
        <v>20</v>
      </c>
    </row>
    <row r="23" spans="2:14" x14ac:dyDescent="0.55000000000000004">
      <c r="B23" s="13" t="s">
        <v>39</v>
      </c>
      <c r="C23" s="13" t="s">
        <v>18</v>
      </c>
      <c r="D23" s="13" t="s">
        <v>18</v>
      </c>
      <c r="E23" s="11" t="s">
        <v>25</v>
      </c>
      <c r="F23" s="11" t="s">
        <v>31</v>
      </c>
      <c r="G23" s="12" t="s">
        <v>22</v>
      </c>
      <c r="H23" s="12" t="s">
        <v>22</v>
      </c>
      <c r="I23" s="11" t="s">
        <v>20</v>
      </c>
      <c r="J23" s="12" t="s">
        <v>22</v>
      </c>
      <c r="K23" s="12" t="s">
        <v>22</v>
      </c>
      <c r="L23" s="11" t="s">
        <v>25</v>
      </c>
      <c r="M23" s="12" t="s">
        <v>22</v>
      </c>
      <c r="N23" s="13" t="s">
        <v>18</v>
      </c>
    </row>
    <row r="24" spans="2:14" x14ac:dyDescent="0.55000000000000004">
      <c r="B24" s="13" t="s">
        <v>18</v>
      </c>
      <c r="C24" s="11" t="s">
        <v>33</v>
      </c>
      <c r="D24" s="11" t="s">
        <v>33</v>
      </c>
      <c r="E24" s="11" t="s">
        <v>31</v>
      </c>
      <c r="F24" s="11" t="s">
        <v>25</v>
      </c>
      <c r="G24" s="11" t="s">
        <v>31</v>
      </c>
      <c r="H24" s="11" t="s">
        <v>25</v>
      </c>
      <c r="I24" s="12" t="s">
        <v>22</v>
      </c>
      <c r="J24" s="11" t="s">
        <v>20</v>
      </c>
      <c r="K24" s="11" t="s">
        <v>20</v>
      </c>
      <c r="L24" s="11" t="s">
        <v>24</v>
      </c>
      <c r="M24" s="11" t="s">
        <v>25</v>
      </c>
      <c r="N24" s="11" t="s">
        <v>33</v>
      </c>
    </row>
    <row r="25" spans="2:14" x14ac:dyDescent="0.55000000000000004">
      <c r="B25" s="13" t="s">
        <v>40</v>
      </c>
      <c r="C25" s="13" t="s">
        <v>0</v>
      </c>
      <c r="D25" s="11" t="s">
        <v>31</v>
      </c>
      <c r="E25" s="13" t="s">
        <v>39</v>
      </c>
      <c r="F25" s="11" t="s">
        <v>24</v>
      </c>
      <c r="G25" s="13" t="s">
        <v>39</v>
      </c>
      <c r="H25" s="13" t="s">
        <v>42</v>
      </c>
      <c r="I25" s="11" t="s">
        <v>25</v>
      </c>
      <c r="J25" s="11" t="s">
        <v>25</v>
      </c>
      <c r="K25" s="11" t="s">
        <v>25</v>
      </c>
      <c r="L25" s="13" t="s">
        <v>39</v>
      </c>
      <c r="M25" s="11" t="s">
        <v>31</v>
      </c>
      <c r="N25" s="11" t="s">
        <v>25</v>
      </c>
    </row>
    <row r="26" spans="2:14" x14ac:dyDescent="0.55000000000000004">
      <c r="B26" s="11" t="s">
        <v>24</v>
      </c>
      <c r="C26" s="13" t="s">
        <v>39</v>
      </c>
      <c r="D26" s="11" t="s">
        <v>24</v>
      </c>
      <c r="E26" s="11" t="s">
        <v>24</v>
      </c>
      <c r="F26" s="13" t="s">
        <v>39</v>
      </c>
      <c r="G26" s="11" t="s">
        <v>25</v>
      </c>
      <c r="H26" s="13" t="s">
        <v>39</v>
      </c>
      <c r="I26" s="13" t="s">
        <v>39</v>
      </c>
      <c r="J26" s="13" t="s">
        <v>39</v>
      </c>
      <c r="K26" s="13" t="s">
        <v>39</v>
      </c>
      <c r="L26" s="11" t="s">
        <v>31</v>
      </c>
      <c r="M26" s="13" t="s">
        <v>39</v>
      </c>
      <c r="N26" s="13" t="s">
        <v>39</v>
      </c>
    </row>
    <row r="27" spans="2:14" x14ac:dyDescent="0.55000000000000004">
      <c r="B27" s="11" t="s">
        <v>33</v>
      </c>
      <c r="C27" s="13" t="s">
        <v>42</v>
      </c>
      <c r="D27" s="13" t="s">
        <v>39</v>
      </c>
      <c r="E27" s="13" t="s">
        <v>42</v>
      </c>
      <c r="F27" s="13" t="s">
        <v>42</v>
      </c>
      <c r="G27" s="13" t="s">
        <v>42</v>
      </c>
      <c r="H27" s="11" t="s">
        <v>31</v>
      </c>
      <c r="I27" s="11" t="s">
        <v>31</v>
      </c>
      <c r="J27" s="11" t="s">
        <v>31</v>
      </c>
      <c r="K27" s="11" t="s">
        <v>31</v>
      </c>
      <c r="L27" s="13" t="s">
        <v>42</v>
      </c>
      <c r="M27" s="13" t="s">
        <v>42</v>
      </c>
      <c r="N27" s="11" t="s">
        <v>31</v>
      </c>
    </row>
    <row r="28" spans="2:14" x14ac:dyDescent="0.55000000000000004">
      <c r="B28" s="11" t="s">
        <v>31</v>
      </c>
      <c r="C28" s="11" t="s">
        <v>24</v>
      </c>
      <c r="D28" s="13" t="s">
        <v>42</v>
      </c>
      <c r="E28" s="11" t="s">
        <v>33</v>
      </c>
      <c r="F28" s="11" t="s">
        <v>29</v>
      </c>
      <c r="G28" s="11" t="s">
        <v>29</v>
      </c>
      <c r="H28" s="11" t="s">
        <v>29</v>
      </c>
      <c r="I28" s="11" t="s">
        <v>29</v>
      </c>
      <c r="J28" s="11" t="s">
        <v>29</v>
      </c>
      <c r="K28" s="11" t="s">
        <v>29</v>
      </c>
      <c r="L28" s="11" t="s">
        <v>33</v>
      </c>
      <c r="M28" s="11" t="s">
        <v>33</v>
      </c>
      <c r="N28" s="11" t="s">
        <v>29</v>
      </c>
    </row>
    <row r="29" spans="2:14" x14ac:dyDescent="0.55000000000000004">
      <c r="B29" s="11" t="s">
        <v>29</v>
      </c>
      <c r="C29" s="11" t="s">
        <v>31</v>
      </c>
      <c r="D29" s="13" t="s">
        <v>16</v>
      </c>
      <c r="E29" s="11" t="s">
        <v>29</v>
      </c>
      <c r="F29" s="13" t="s">
        <v>16</v>
      </c>
      <c r="G29" s="13" t="s">
        <v>16</v>
      </c>
      <c r="H29" s="13" t="s">
        <v>16</v>
      </c>
      <c r="I29" s="13" t="s">
        <v>16</v>
      </c>
      <c r="J29" s="13" t="s">
        <v>16</v>
      </c>
      <c r="K29" s="13" t="s">
        <v>16</v>
      </c>
      <c r="L29" s="13" t="s">
        <v>0</v>
      </c>
      <c r="M29" s="13" t="s">
        <v>0</v>
      </c>
      <c r="N29" s="11" t="s">
        <v>24</v>
      </c>
    </row>
    <row r="30" spans="2:14" x14ac:dyDescent="0.55000000000000004">
      <c r="B30" s="11" t="s">
        <v>27</v>
      </c>
      <c r="C30" s="11" t="s">
        <v>27</v>
      </c>
      <c r="D30" s="11" t="s">
        <v>29</v>
      </c>
      <c r="E30" s="13" t="s">
        <v>16</v>
      </c>
      <c r="F30" s="11" t="s">
        <v>27</v>
      </c>
      <c r="G30" s="11" t="s">
        <v>27</v>
      </c>
      <c r="H30" s="11" t="s">
        <v>27</v>
      </c>
      <c r="I30" s="11" t="s">
        <v>27</v>
      </c>
      <c r="J30" s="11" t="s">
        <v>27</v>
      </c>
      <c r="K30" s="11" t="s">
        <v>27</v>
      </c>
      <c r="L30" s="11" t="s">
        <v>27</v>
      </c>
      <c r="M30" s="11" t="s">
        <v>29</v>
      </c>
      <c r="N30" s="13" t="s">
        <v>42</v>
      </c>
    </row>
    <row r="31" spans="2:14" x14ac:dyDescent="0.55000000000000004">
      <c r="B31" s="13" t="s">
        <v>16</v>
      </c>
      <c r="C31" s="11" t="s">
        <v>29</v>
      </c>
      <c r="D31" s="13" t="s">
        <v>0</v>
      </c>
      <c r="E31" s="11" t="s">
        <v>27</v>
      </c>
      <c r="F31" s="11" t="s">
        <v>33</v>
      </c>
      <c r="G31" s="11" t="s">
        <v>33</v>
      </c>
      <c r="H31" s="11" t="s">
        <v>33</v>
      </c>
      <c r="I31" s="11" t="s">
        <v>33</v>
      </c>
      <c r="J31" s="11" t="s">
        <v>33</v>
      </c>
      <c r="K31" s="11" t="s">
        <v>33</v>
      </c>
      <c r="L31" s="11" t="s">
        <v>29</v>
      </c>
      <c r="M31" s="11" t="s">
        <v>27</v>
      </c>
      <c r="N31" s="11" t="s">
        <v>27</v>
      </c>
    </row>
    <row r="32" spans="2:14" x14ac:dyDescent="0.55000000000000004">
      <c r="B32" s="13" t="s">
        <v>0</v>
      </c>
      <c r="C32" s="13" t="s">
        <v>16</v>
      </c>
      <c r="D32" s="11" t="s">
        <v>27</v>
      </c>
      <c r="E32" s="13" t="s">
        <v>0</v>
      </c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16</v>
      </c>
      <c r="M32" s="13" t="s">
        <v>16</v>
      </c>
      <c r="N32" s="13" t="s">
        <v>16</v>
      </c>
    </row>
  </sheetData>
  <sortState xmlns:xlrd2="http://schemas.microsoft.com/office/spreadsheetml/2017/richdata2" ref="A2:S16">
    <sortCondition ref="E2:E16"/>
  </sortState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颯 安齋</dc:creator>
  <cp:lastModifiedBy>颯 安齋</cp:lastModifiedBy>
  <dcterms:created xsi:type="dcterms:W3CDTF">2025-12-15T21:39:58Z</dcterms:created>
  <dcterms:modified xsi:type="dcterms:W3CDTF">2025-12-26T04:33:03Z</dcterms:modified>
</cp:coreProperties>
</file>